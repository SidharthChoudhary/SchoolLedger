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threadedComments/threadedComment2.xml" ContentType="application/vnd.ms-excel.threaded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hidePivotFieldList="1" showPivotChartFilter="1"/>
  <bookViews>
    <workbookView xWindow="-105" yWindow="-105" windowWidth="23250" windowHeight="12570" tabRatio="941" firstSheet="12" activeTab="31"/>
  </bookViews>
  <sheets>
    <sheet name="main" sheetId="77" r:id="rId1"/>
    <sheet name="mains" sheetId="1" r:id="rId2"/>
    <sheet name="Income" sheetId="53" r:id="rId3"/>
    <sheet name="OtherIncm" sheetId="39" r:id="rId4"/>
    <sheet name="OthExp" sheetId="22" r:id="rId5"/>
    <sheet name="TranMaint" sheetId="78" r:id="rId6"/>
    <sheet name="ISummary" sheetId="68" r:id="rId7"/>
    <sheet name="Diesel" sheetId="8" r:id="rId8"/>
    <sheet name="Fee 22-23" sheetId="70" r:id="rId9"/>
    <sheet name="Fee 22-23_K" sheetId="69" r:id="rId10"/>
    <sheet name="Fee 21-22" sheetId="54" r:id="rId11"/>
    <sheet name="FeeGross" sheetId="35" r:id="rId12"/>
    <sheet name="TmpFee" sheetId="48" r:id="rId13"/>
    <sheet name="AroraJi20-21" sheetId="47" r:id="rId14"/>
    <sheet name="AroraJi 19-20" sheetId="29" r:id="rId15"/>
    <sheet name="RSK" sheetId="2" r:id="rId16"/>
    <sheet name="SM" sheetId="5" r:id="rId17"/>
    <sheet name="SP" sheetId="11" r:id="rId18"/>
    <sheet name="PS" sheetId="16" r:id="rId19"/>
    <sheet name="AB" sheetId="17" r:id="rId20"/>
    <sheet name="CDV" sheetId="31" r:id="rId21"/>
    <sheet name="PG" sheetId="43" r:id="rId22"/>
    <sheet name="MKJ" sheetId="71" r:id="rId23"/>
    <sheet name="Oth" sheetId="18" r:id="rId24"/>
    <sheet name="RSF" sheetId="49" r:id="rId25"/>
    <sheet name="MKN" sheetId="57" r:id="rId26"/>
    <sheet name="SG" sheetId="60" r:id="rId27"/>
    <sheet name="RAS" sheetId="61" r:id="rId28"/>
    <sheet name="AK" sheetId="63" r:id="rId29"/>
    <sheet name="RME" sheetId="64" r:id="rId30"/>
    <sheet name="LK" sheetId="65" r:id="rId31"/>
    <sheet name="RMH" sheetId="67" r:id="rId32"/>
    <sheet name="SK" sheetId="72" r:id="rId33"/>
    <sheet name="AS" sheetId="73" r:id="rId34"/>
    <sheet name="DK" sheetId="74" r:id="rId35"/>
    <sheet name="JS" sheetId="75" r:id="rId36"/>
    <sheet name="GK" sheetId="76" r:id="rId37"/>
    <sheet name="MK" sheetId="3" r:id="rId38"/>
    <sheet name="PK" sheetId="66" r:id="rId39"/>
    <sheet name="SV" sheetId="62" r:id="rId40"/>
    <sheet name="HB" sheetId="59" r:id="rId41"/>
    <sheet name="RKS" sheetId="58" r:id="rId42"/>
    <sheet name="BD" sheetId="56" r:id="rId43"/>
    <sheet name="TK" sheetId="55" r:id="rId44"/>
    <sheet name="SJ" sheetId="19" r:id="rId45"/>
    <sheet name="MM" sheetId="13" r:id="rId46"/>
    <sheet name="RM" sheetId="10" r:id="rId47"/>
  </sheets>
  <externalReferences>
    <externalReference r:id="rId48"/>
  </externalReferences>
  <definedNames>
    <definedName name="_xlnm._FilterDatabase" localSheetId="8" hidden="1">'Fee 22-23'!$A$2:$Q$2</definedName>
  </definedNames>
  <calcPr calcId="125725"/>
  <pivotCaches>
    <pivotCache cacheId="1" r:id="rId49"/>
  </pivotCaches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"/>
  <c r="C24" i="16" l="1"/>
  <c r="C23"/>
  <c r="D26" i="22"/>
  <c r="B23" i="1" l="1"/>
  <c r="E8" i="53"/>
  <c r="D8"/>
  <c r="U20" i="78"/>
  <c r="P8" i="53"/>
  <c r="F42" i="22"/>
  <c r="F48"/>
  <c r="F54"/>
  <c r="F60"/>
  <c r="E6" i="53"/>
  <c r="E7"/>
  <c r="E9"/>
  <c r="E10"/>
  <c r="E11"/>
  <c r="E12"/>
  <c r="E13"/>
  <c r="E14"/>
  <c r="E15"/>
  <c r="E5"/>
  <c r="E4"/>
  <c r="B18" i="1"/>
  <c r="C4" i="53" l="1"/>
  <c r="F3" i="78"/>
  <c r="C24" i="5" l="1"/>
  <c r="N5" i="70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8"/>
  <c r="N129"/>
  <c r="N130"/>
  <c r="N131"/>
  <c r="N132"/>
  <c r="N133"/>
  <c r="N134"/>
  <c r="N135"/>
  <c r="N136"/>
  <c r="N137"/>
  <c r="N138"/>
  <c r="N139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6"/>
  <c r="N177"/>
  <c r="N178"/>
  <c r="N179"/>
  <c r="N180"/>
  <c r="N181"/>
  <c r="N182"/>
  <c r="N183"/>
  <c r="N184"/>
  <c r="N185"/>
  <c r="N186"/>
  <c r="N187"/>
  <c r="N188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1"/>
  <c r="N212"/>
  <c r="N213"/>
  <c r="N214"/>
  <c r="N215"/>
  <c r="N216"/>
  <c r="N217"/>
  <c r="N218"/>
  <c r="N219"/>
  <c r="N220"/>
  <c r="N221"/>
  <c r="N222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4"/>
  <c r="N255"/>
  <c r="N256"/>
  <c r="N257"/>
  <c r="N258"/>
  <c r="N259"/>
  <c r="N260"/>
  <c r="N261"/>
  <c r="N262"/>
  <c r="N263"/>
  <c r="N264"/>
  <c r="N265"/>
  <c r="N266"/>
  <c r="N267"/>
  <c r="N268"/>
  <c r="J65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8"/>
  <c r="J129"/>
  <c r="J130"/>
  <c r="J131"/>
  <c r="J132"/>
  <c r="J133"/>
  <c r="J134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6"/>
  <c r="J177"/>
  <c r="J178"/>
  <c r="J179"/>
  <c r="J180"/>
  <c r="J181"/>
  <c r="J182"/>
  <c r="J183"/>
  <c r="J184"/>
  <c r="J185"/>
  <c r="J186"/>
  <c r="J187"/>
  <c r="J188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1"/>
  <c r="J212"/>
  <c r="J213"/>
  <c r="J214"/>
  <c r="J215"/>
  <c r="J216"/>
  <c r="J217"/>
  <c r="J218"/>
  <c r="J219"/>
  <c r="J220"/>
  <c r="J221"/>
  <c r="J222"/>
  <c r="J223"/>
  <c r="J225"/>
  <c r="J226"/>
  <c r="J227"/>
  <c r="J228"/>
  <c r="J230"/>
  <c r="J231"/>
  <c r="J232"/>
  <c r="J233"/>
  <c r="J234"/>
  <c r="J235"/>
  <c r="J236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4"/>
  <c r="B4" i="39"/>
  <c r="C24" i="11" l="1"/>
  <c r="L3" i="70"/>
  <c r="I3"/>
  <c r="J3"/>
  <c r="P52"/>
  <c r="C24" i="2"/>
  <c r="D58" i="1"/>
  <c r="C58"/>
  <c r="D59"/>
  <c r="C59"/>
  <c r="B59"/>
  <c r="B58"/>
  <c r="D55"/>
  <c r="C55"/>
  <c r="B55"/>
  <c r="C24" i="76"/>
  <c r="D18"/>
  <c r="C23" s="1"/>
  <c r="C24" i="75"/>
  <c r="D18"/>
  <c r="C23" s="1"/>
  <c r="C24" i="74"/>
  <c r="C57" i="1" s="1"/>
  <c r="D18" i="74"/>
  <c r="C23" s="1"/>
  <c r="B57" i="1" s="1"/>
  <c r="C24" i="73"/>
  <c r="C56" i="1" s="1"/>
  <c r="D18" i="73"/>
  <c r="C23" s="1"/>
  <c r="B56" i="1" s="1"/>
  <c r="C24" i="72"/>
  <c r="C23"/>
  <c r="G59" i="1" l="1"/>
  <c r="G55"/>
  <c r="G58"/>
  <c r="C25" i="76"/>
  <c r="C25" i="75"/>
  <c r="C25" i="74"/>
  <c r="D57" i="1" s="1"/>
  <c r="C25" i="73"/>
  <c r="D56" i="1" s="1"/>
  <c r="G56" s="1"/>
  <c r="C25" i="72"/>
  <c r="G57" i="1" l="1"/>
  <c r="D9" i="65"/>
  <c r="D18" s="1"/>
  <c r="C23" s="1"/>
  <c r="C24" i="57"/>
  <c r="C24" i="71"/>
  <c r="C60" i="1" s="1"/>
  <c r="D18" i="71"/>
  <c r="C23" s="1"/>
  <c r="B60" i="1" s="1"/>
  <c r="G3" i="70"/>
  <c r="F3"/>
  <c r="N4"/>
  <c r="M3"/>
  <c r="H3"/>
  <c r="K259" i="54"/>
  <c r="G259"/>
  <c r="K258"/>
  <c r="K256"/>
  <c r="K255"/>
  <c r="K254"/>
  <c r="K252"/>
  <c r="K251"/>
  <c r="K250"/>
  <c r="K249"/>
  <c r="K248"/>
  <c r="K247"/>
  <c r="K246"/>
  <c r="K245"/>
  <c r="K243"/>
  <c r="K242"/>
  <c r="K241"/>
  <c r="K240"/>
  <c r="K239"/>
  <c r="K238"/>
  <c r="K236"/>
  <c r="K235"/>
  <c r="K234"/>
  <c r="K233"/>
  <c r="K232"/>
  <c r="K229"/>
  <c r="K228"/>
  <c r="K227"/>
  <c r="K226"/>
  <c r="K225"/>
  <c r="K224"/>
  <c r="K223"/>
  <c r="K222"/>
  <c r="K221"/>
  <c r="K220"/>
  <c r="K218"/>
  <c r="K219"/>
  <c r="K217"/>
  <c r="K216"/>
  <c r="K215"/>
  <c r="K214"/>
  <c r="K213"/>
  <c r="K211"/>
  <c r="K210"/>
  <c r="K209"/>
  <c r="K207"/>
  <c r="K203"/>
  <c r="K200"/>
  <c r="K199"/>
  <c r="K197"/>
  <c r="K196"/>
  <c r="K195"/>
  <c r="K194"/>
  <c r="K193"/>
  <c r="K191"/>
  <c r="K189"/>
  <c r="K188"/>
  <c r="K186"/>
  <c r="K185"/>
  <c r="K184"/>
  <c r="K183"/>
  <c r="K181"/>
  <c r="K179"/>
  <c r="K178"/>
  <c r="K177"/>
  <c r="K175"/>
  <c r="K172"/>
  <c r="K170"/>
  <c r="K167"/>
  <c r="K165"/>
  <c r="K162"/>
  <c r="K161"/>
  <c r="K160"/>
  <c r="K159"/>
  <c r="K158"/>
  <c r="K157"/>
  <c r="K156"/>
  <c r="K155"/>
  <c r="K152"/>
  <c r="K148"/>
  <c r="K147"/>
  <c r="K145"/>
  <c r="K142"/>
  <c r="K141"/>
  <c r="K140"/>
  <c r="K139"/>
  <c r="K138"/>
  <c r="K137"/>
  <c r="K135"/>
  <c r="K134"/>
  <c r="K133"/>
  <c r="K132"/>
  <c r="K130"/>
  <c r="K129"/>
  <c r="K128"/>
  <c r="K127"/>
  <c r="K126"/>
  <c r="K125"/>
  <c r="K124"/>
  <c r="K123"/>
  <c r="K122"/>
  <c r="K121"/>
  <c r="K119"/>
  <c r="K118"/>
  <c r="K113"/>
  <c r="K111"/>
  <c r="K110"/>
  <c r="K109"/>
  <c r="K105"/>
  <c r="K104"/>
  <c r="K103"/>
  <c r="K102"/>
  <c r="K101"/>
  <c r="K100"/>
  <c r="K99"/>
  <c r="K96"/>
  <c r="K95"/>
  <c r="J152" i="69"/>
  <c r="J148"/>
  <c r="J147"/>
  <c r="J145"/>
  <c r="J142"/>
  <c r="J141"/>
  <c r="J138"/>
  <c r="J137"/>
  <c r="J135"/>
  <c r="J132"/>
  <c r="J130"/>
  <c r="J129"/>
  <c r="J128"/>
  <c r="J127"/>
  <c r="J126"/>
  <c r="J125"/>
  <c r="J121"/>
  <c r="J119"/>
  <c r="J118"/>
  <c r="J113"/>
  <c r="J111"/>
  <c r="J110"/>
  <c r="J109"/>
  <c r="J105"/>
  <c r="J104"/>
  <c r="J102"/>
  <c r="J101"/>
  <c r="J100"/>
  <c r="J99"/>
  <c r="J97"/>
  <c r="J96"/>
  <c r="J95"/>
  <c r="J94"/>
  <c r="J90"/>
  <c r="J88"/>
  <c r="N87"/>
  <c r="N86"/>
  <c r="N85"/>
  <c r="J85"/>
  <c r="N84"/>
  <c r="N83"/>
  <c r="J83"/>
  <c r="N82"/>
  <c r="N81"/>
  <c r="J81"/>
  <c r="N80"/>
  <c r="J80"/>
  <c r="N79"/>
  <c r="J79"/>
  <c r="N78"/>
  <c r="N77"/>
  <c r="J77"/>
  <c r="N76"/>
  <c r="N75"/>
  <c r="J75"/>
  <c r="N74"/>
  <c r="J74"/>
  <c r="N73"/>
  <c r="N72"/>
  <c r="N71"/>
  <c r="N70"/>
  <c r="N69"/>
  <c r="N68"/>
  <c r="J68"/>
  <c r="N67"/>
  <c r="N66"/>
  <c r="N65"/>
  <c r="N64"/>
  <c r="J64"/>
  <c r="N63"/>
  <c r="J63"/>
  <c r="N62"/>
  <c r="J62"/>
  <c r="N61"/>
  <c r="J61"/>
  <c r="N60"/>
  <c r="J60"/>
  <c r="N59"/>
  <c r="J59"/>
  <c r="N58"/>
  <c r="J58"/>
  <c r="N57"/>
  <c r="J57"/>
  <c r="N56"/>
  <c r="J56"/>
  <c r="N55"/>
  <c r="J55"/>
  <c r="N54"/>
  <c r="J54"/>
  <c r="N53"/>
  <c r="J53"/>
  <c r="N52"/>
  <c r="J52"/>
  <c r="N51"/>
  <c r="J51"/>
  <c r="N50"/>
  <c r="J50"/>
  <c r="N49"/>
  <c r="J49"/>
  <c r="N48"/>
  <c r="J48"/>
  <c r="N47"/>
  <c r="J47"/>
  <c r="N46"/>
  <c r="J46"/>
  <c r="N45"/>
  <c r="J45"/>
  <c r="N44"/>
  <c r="J44"/>
  <c r="N43"/>
  <c r="J43"/>
  <c r="N42"/>
  <c r="J42"/>
  <c r="N41"/>
  <c r="J41"/>
  <c r="N40"/>
  <c r="J40"/>
  <c r="N39"/>
  <c r="J39"/>
  <c r="N38"/>
  <c r="J38"/>
  <c r="N37"/>
  <c r="J37"/>
  <c r="N36"/>
  <c r="J36"/>
  <c r="N35"/>
  <c r="J35"/>
  <c r="N34"/>
  <c r="J34"/>
  <c r="N33"/>
  <c r="J33"/>
  <c r="N32"/>
  <c r="J32"/>
  <c r="N31"/>
  <c r="J31"/>
  <c r="N30"/>
  <c r="J30"/>
  <c r="N29"/>
  <c r="J29"/>
  <c r="N28"/>
  <c r="J28"/>
  <c r="N27"/>
  <c r="J27"/>
  <c r="N26"/>
  <c r="J26"/>
  <c r="N25"/>
  <c r="J25"/>
  <c r="N24"/>
  <c r="J24"/>
  <c r="N23"/>
  <c r="J23"/>
  <c r="N22"/>
  <c r="J22"/>
  <c r="N21"/>
  <c r="J21"/>
  <c r="N20"/>
  <c r="J20"/>
  <c r="N19"/>
  <c r="J19"/>
  <c r="N18"/>
  <c r="J18"/>
  <c r="N17"/>
  <c r="J17"/>
  <c r="N16"/>
  <c r="J16"/>
  <c r="N15"/>
  <c r="J15"/>
  <c r="N14"/>
  <c r="J14"/>
  <c r="J13"/>
  <c r="J12"/>
  <c r="J11"/>
  <c r="J10"/>
  <c r="J9"/>
  <c r="J8"/>
  <c r="J7"/>
  <c r="J6"/>
  <c r="J5"/>
  <c r="J4"/>
  <c r="M3"/>
  <c r="L3"/>
  <c r="I3"/>
  <c r="H3"/>
  <c r="G3"/>
  <c r="K87" i="54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J3"/>
  <c r="I3"/>
  <c r="D3"/>
  <c r="E3"/>
  <c r="F3"/>
  <c r="G258"/>
  <c r="G256"/>
  <c r="G255"/>
  <c r="G254"/>
  <c r="G252"/>
  <c r="G251"/>
  <c r="G250"/>
  <c r="G249"/>
  <c r="G248"/>
  <c r="G247"/>
  <c r="G246"/>
  <c r="G245"/>
  <c r="G243"/>
  <c r="G242"/>
  <c r="G241"/>
  <c r="G240"/>
  <c r="G239"/>
  <c r="G238"/>
  <c r="G236"/>
  <c r="G235"/>
  <c r="G233"/>
  <c r="G232"/>
  <c r="G229"/>
  <c r="G228"/>
  <c r="G227"/>
  <c r="G226"/>
  <c r="G224"/>
  <c r="G223"/>
  <c r="G221"/>
  <c r="G220"/>
  <c r="G219"/>
  <c r="G218"/>
  <c r="G217"/>
  <c r="G216"/>
  <c r="G214"/>
  <c r="G213"/>
  <c r="G211"/>
  <c r="G210"/>
  <c r="G209"/>
  <c r="G207"/>
  <c r="G203"/>
  <c r="G200"/>
  <c r="G199"/>
  <c r="G197"/>
  <c r="G196"/>
  <c r="G193"/>
  <c r="G191"/>
  <c r="G189"/>
  <c r="G188"/>
  <c r="G186"/>
  <c r="G184"/>
  <c r="G183"/>
  <c r="G181"/>
  <c r="G179"/>
  <c r="G178"/>
  <c r="G177"/>
  <c r="G175"/>
  <c r="G172"/>
  <c r="G170"/>
  <c r="G167"/>
  <c r="G165"/>
  <c r="G162"/>
  <c r="G160"/>
  <c r="G159"/>
  <c r="G156"/>
  <c r="G155"/>
  <c r="G152"/>
  <c r="G148"/>
  <c r="G147"/>
  <c r="G145"/>
  <c r="G142"/>
  <c r="G141"/>
  <c r="G138"/>
  <c r="G137"/>
  <c r="G135"/>
  <c r="G130"/>
  <c r="B2" i="68"/>
  <c r="B2" i="22"/>
  <c r="B4" i="53"/>
  <c r="N2"/>
  <c r="M2"/>
  <c r="L2"/>
  <c r="J2"/>
  <c r="I2"/>
  <c r="H2"/>
  <c r="D6" i="8"/>
  <c r="J14"/>
  <c r="C24" i="67"/>
  <c r="C54" i="1" s="1"/>
  <c r="D18" i="67"/>
  <c r="C23" s="1"/>
  <c r="C24" i="66"/>
  <c r="C53" i="1" s="1"/>
  <c r="D18" i="66"/>
  <c r="C23" s="1"/>
  <c r="C24" i="65"/>
  <c r="C52" i="1" s="1"/>
  <c r="C24" i="64"/>
  <c r="C51" i="1" s="1"/>
  <c r="D18" i="64"/>
  <c r="C23" s="1"/>
  <c r="B51" i="1" s="1"/>
  <c r="C24" i="63"/>
  <c r="C50" i="1" s="1"/>
  <c r="D18" i="63"/>
  <c r="C23" s="1"/>
  <c r="C24" i="62"/>
  <c r="C49" i="1" s="1"/>
  <c r="D18" i="62"/>
  <c r="C23" s="1"/>
  <c r="C25" s="1"/>
  <c r="D49" i="1" s="1"/>
  <c r="C24" i="61"/>
  <c r="C48" i="1" s="1"/>
  <c r="D18" i="61"/>
  <c r="C23" s="1"/>
  <c r="C24" i="60"/>
  <c r="C47" i="1" s="1"/>
  <c r="D18" i="60"/>
  <c r="C23" s="1"/>
  <c r="B47" i="1" s="1"/>
  <c r="E3" i="18"/>
  <c r="C23" i="13"/>
  <c r="C25" i="67" l="1"/>
  <c r="D54" i="1" s="1"/>
  <c r="B54"/>
  <c r="C25" i="66"/>
  <c r="D53" i="1" s="1"/>
  <c r="B53"/>
  <c r="C25" i="65"/>
  <c r="D52" i="1" s="1"/>
  <c r="B52"/>
  <c r="C25" i="63"/>
  <c r="D50" i="1" s="1"/>
  <c r="B50"/>
  <c r="B49"/>
  <c r="G49" s="1"/>
  <c r="C25" i="61"/>
  <c r="D48" i="1" s="1"/>
  <c r="B48"/>
  <c r="C25" i="71"/>
  <c r="D60" i="1" s="1"/>
  <c r="G60" s="1"/>
  <c r="N3" i="70"/>
  <c r="J3" i="69"/>
  <c r="N3"/>
  <c r="K3" i="54"/>
  <c r="C25" i="64"/>
  <c r="D51" i="1" s="1"/>
  <c r="G51" s="1"/>
  <c r="C25" i="60"/>
  <c r="D47" i="1" s="1"/>
  <c r="G47" s="1"/>
  <c r="G52" l="1"/>
  <c r="G54"/>
  <c r="G48"/>
  <c r="G53"/>
  <c r="G50"/>
  <c r="B16" i="53"/>
  <c r="C14" i="1"/>
  <c r="G132" i="54" l="1"/>
  <c r="C24" i="59" l="1"/>
  <c r="C46" i="1" s="1"/>
  <c r="D18" i="59"/>
  <c r="C23" s="1"/>
  <c r="B46" i="1" s="1"/>
  <c r="C24" i="58"/>
  <c r="C45" i="1" s="1"/>
  <c r="D18" i="58"/>
  <c r="C23" s="1"/>
  <c r="B45" i="1" s="1"/>
  <c r="C44"/>
  <c r="D18" i="57"/>
  <c r="C23" s="1"/>
  <c r="B44" i="1" s="1"/>
  <c r="C24" i="56"/>
  <c r="C43" i="1" s="1"/>
  <c r="D18" i="56"/>
  <c r="C23" s="1"/>
  <c r="B43" i="1" s="1"/>
  <c r="C24" i="55"/>
  <c r="C42" i="1" s="1"/>
  <c r="D18" i="55"/>
  <c r="C23" s="1"/>
  <c r="B42" i="1" s="1"/>
  <c r="C25" i="59" l="1"/>
  <c r="D46" i="1" s="1"/>
  <c r="G46" s="1"/>
  <c r="C25" i="58"/>
  <c r="D45" i="1" s="1"/>
  <c r="G45" s="1"/>
  <c r="C25" i="57"/>
  <c r="D44" i="1" s="1"/>
  <c r="G44" s="1"/>
  <c r="C25" i="56"/>
  <c r="D43" i="1" s="1"/>
  <c r="G43" s="1"/>
  <c r="C25" i="55"/>
  <c r="D42" i="1" s="1"/>
  <c r="G42" s="1"/>
  <c r="G129" i="54" l="1"/>
  <c r="G128"/>
  <c r="G127"/>
  <c r="G126"/>
  <c r="G125"/>
  <c r="G121"/>
  <c r="G119"/>
  <c r="G118"/>
  <c r="G113"/>
  <c r="G111"/>
  <c r="G110"/>
  <c r="G109"/>
  <c r="G105"/>
  <c r="G104"/>
  <c r="G102"/>
  <c r="G101"/>
  <c r="G100"/>
  <c r="G99"/>
  <c r="G97"/>
  <c r="G96"/>
  <c r="G95"/>
  <c r="G94"/>
  <c r="G90"/>
  <c r="G88"/>
  <c r="G85"/>
  <c r="G83"/>
  <c r="G81"/>
  <c r="G80"/>
  <c r="G79"/>
  <c r="G77"/>
  <c r="G75"/>
  <c r="G74"/>
  <c r="G68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I14" i="8"/>
  <c r="D4" s="1"/>
  <c r="H14"/>
  <c r="D3" s="1"/>
  <c r="C16" i="53"/>
  <c r="C24" i="49"/>
  <c r="C41" i="1" s="1"/>
  <c r="D18" i="49"/>
  <c r="C23" s="1"/>
  <c r="O246" i="48"/>
  <c r="O245"/>
  <c r="O244"/>
  <c r="O243"/>
  <c r="O242"/>
  <c r="O241"/>
  <c r="O240"/>
  <c r="O238"/>
  <c r="O237"/>
  <c r="O236"/>
  <c r="O235"/>
  <c r="O234"/>
  <c r="O233"/>
  <c r="O232"/>
  <c r="O231"/>
  <c r="O230"/>
  <c r="O229"/>
  <c r="O228"/>
  <c r="O227"/>
  <c r="O226"/>
  <c r="O225"/>
  <c r="O224"/>
  <c r="O223"/>
  <c r="O221"/>
  <c r="O219"/>
  <c r="O218"/>
  <c r="O217"/>
  <c r="O216"/>
  <c r="O215"/>
  <c r="O214"/>
  <c r="O213"/>
  <c r="O212"/>
  <c r="O211"/>
  <c r="O210"/>
  <c r="O209"/>
  <c r="O207"/>
  <c r="O206"/>
  <c r="O204"/>
  <c r="O203"/>
  <c r="O201"/>
  <c r="O200"/>
  <c r="O199"/>
  <c r="O197"/>
  <c r="O195"/>
  <c r="O194"/>
  <c r="O191"/>
  <c r="O190"/>
  <c r="O188"/>
  <c r="O187"/>
  <c r="O185"/>
  <c r="O183"/>
  <c r="O182"/>
  <c r="O181"/>
  <c r="O179"/>
  <c r="O178"/>
  <c r="O174"/>
  <c r="O173"/>
  <c r="O171"/>
  <c r="O169"/>
  <c r="O167"/>
  <c r="O165"/>
  <c r="O163"/>
  <c r="O162"/>
  <c r="O160"/>
  <c r="O159"/>
  <c r="O156"/>
  <c r="O154"/>
  <c r="O152"/>
  <c r="O150"/>
  <c r="O149"/>
  <c r="O148"/>
  <c r="O147"/>
  <c r="O145"/>
  <c r="O141"/>
  <c r="O138"/>
  <c r="O134"/>
  <c r="O133"/>
  <c r="O131"/>
  <c r="O129"/>
  <c r="O126"/>
  <c r="O124"/>
  <c r="O121"/>
  <c r="O120"/>
  <c r="O119"/>
  <c r="O118"/>
  <c r="O117"/>
  <c r="O116"/>
  <c r="O111"/>
  <c r="O107"/>
  <c r="O102"/>
  <c r="O98"/>
  <c r="O96"/>
  <c r="O94"/>
  <c r="O93"/>
  <c r="O92"/>
  <c r="O91"/>
  <c r="O89"/>
  <c r="O87"/>
  <c r="O83"/>
  <c r="O82"/>
  <c r="O81"/>
  <c r="O77"/>
  <c r="O75"/>
  <c r="O73"/>
  <c r="O72"/>
  <c r="O70"/>
  <c r="O68"/>
  <c r="O66"/>
  <c r="O61"/>
  <c r="O59"/>
  <c r="O55"/>
  <c r="O53"/>
  <c r="O50"/>
  <c r="O49"/>
  <c r="O46"/>
  <c r="O45"/>
  <c r="O44"/>
  <c r="O41"/>
  <c r="O40"/>
  <c r="O38"/>
  <c r="O35"/>
  <c r="O31"/>
  <c r="O30"/>
  <c r="O29"/>
  <c r="O27"/>
  <c r="O26"/>
  <c r="O25"/>
  <c r="O24"/>
  <c r="O23"/>
  <c r="O21"/>
  <c r="O20"/>
  <c r="O16"/>
  <c r="O14"/>
  <c r="O12"/>
  <c r="O10"/>
  <c r="O9"/>
  <c r="O7"/>
  <c r="O5"/>
  <c r="O3"/>
  <c r="O2"/>
  <c r="N2"/>
  <c r="M2"/>
  <c r="L2"/>
  <c r="K2"/>
  <c r="J2"/>
  <c r="I2"/>
  <c r="F16" i="53" l="1"/>
  <c r="B64" i="1"/>
  <c r="C64"/>
  <c r="G3" i="54"/>
  <c r="C25" i="49"/>
  <c r="D41" i="1" s="1"/>
  <c r="B41"/>
  <c r="G41" l="1"/>
  <c r="P7" i="47"/>
  <c r="P6"/>
  <c r="P5"/>
  <c r="P4"/>
  <c r="P3"/>
  <c r="P2"/>
  <c r="M18"/>
  <c r="M17"/>
  <c r="M16"/>
  <c r="M15"/>
  <c r="M14"/>
  <c r="M13"/>
  <c r="M12"/>
  <c r="M11"/>
  <c r="M10"/>
  <c r="M9"/>
  <c r="M8"/>
  <c r="M7"/>
  <c r="M6"/>
  <c r="M5"/>
  <c r="M4"/>
  <c r="G3"/>
  <c r="D3"/>
  <c r="M3" l="1"/>
  <c r="O246" i="35"/>
  <c r="C63" i="1"/>
  <c r="B49" i="39"/>
  <c r="O68" i="35"/>
  <c r="O66"/>
  <c r="J2"/>
  <c r="I2"/>
  <c r="C24" i="43" l="1"/>
  <c r="C40" i="1" s="1"/>
  <c r="D18" i="43"/>
  <c r="C23" s="1"/>
  <c r="C25" l="1"/>
  <c r="D40" i="1" s="1"/>
  <c r="B40"/>
  <c r="G40" l="1"/>
  <c r="C25" i="2"/>
  <c r="F27" i="29"/>
  <c r="O230" i="35" l="1"/>
  <c r="O165"/>
  <c r="R34" i="29" l="1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 s="1"/>
  <c r="N20"/>
  <c r="N19"/>
  <c r="N18"/>
  <c r="N17"/>
  <c r="N16"/>
  <c r="N15"/>
  <c r="N14"/>
  <c r="N13"/>
  <c r="N12"/>
  <c r="N11"/>
  <c r="N10"/>
  <c r="N9"/>
  <c r="N8"/>
  <c r="N7"/>
  <c r="N6"/>
  <c r="N5" l="1"/>
  <c r="B21" i="1"/>
  <c r="D5" i="8" l="1"/>
  <c r="B62" i="1" s="1"/>
  <c r="D62" s="1"/>
  <c r="B63"/>
  <c r="D63" s="1"/>
  <c r="D7" i="8" l="1"/>
  <c r="D11" i="1" s="1"/>
  <c r="B19"/>
  <c r="B24" s="1"/>
  <c r="G4" i="39"/>
  <c r="B49" i="29"/>
  <c r="F4" s="1"/>
  <c r="F10" s="1"/>
  <c r="B3"/>
  <c r="F49"/>
  <c r="F5" s="1"/>
  <c r="H2" i="39" l="1"/>
  <c r="F12" i="29"/>
  <c r="C3"/>
  <c r="O182" i="35"/>
  <c r="O238"/>
  <c r="O163"/>
  <c r="O160"/>
  <c r="O83"/>
  <c r="O41"/>
  <c r="O29"/>
  <c r="O21"/>
  <c r="O245"/>
  <c r="O244"/>
  <c r="O243"/>
  <c r="O242"/>
  <c r="O241"/>
  <c r="O240"/>
  <c r="O237"/>
  <c r="O236"/>
  <c r="O235"/>
  <c r="O234"/>
  <c r="O233"/>
  <c r="O232"/>
  <c r="O231"/>
  <c r="O229"/>
  <c r="O44"/>
  <c r="O228"/>
  <c r="O227"/>
  <c r="O226"/>
  <c r="O225"/>
  <c r="O224"/>
  <c r="O223"/>
  <c r="O221"/>
  <c r="O219"/>
  <c r="O218"/>
  <c r="O217"/>
  <c r="O216"/>
  <c r="O215"/>
  <c r="O214"/>
  <c r="O213"/>
  <c r="O212"/>
  <c r="O211"/>
  <c r="O210"/>
  <c r="O207"/>
  <c r="O209"/>
  <c r="O206"/>
  <c r="O204"/>
  <c r="O203"/>
  <c r="O201"/>
  <c r="O200"/>
  <c r="O199"/>
  <c r="O197"/>
  <c r="O195"/>
  <c r="O194"/>
  <c r="O191"/>
  <c r="O190"/>
  <c r="O188"/>
  <c r="O187"/>
  <c r="O185"/>
  <c r="O183"/>
  <c r="O181"/>
  <c r="O179"/>
  <c r="O178"/>
  <c r="O174"/>
  <c r="O173"/>
  <c r="O171"/>
  <c r="O169"/>
  <c r="O167"/>
  <c r="O162"/>
  <c r="O159"/>
  <c r="O156"/>
  <c r="O154"/>
  <c r="O152"/>
  <c r="O150"/>
  <c r="O149"/>
  <c r="O148"/>
  <c r="O147"/>
  <c r="O145"/>
  <c r="O141"/>
  <c r="O138"/>
  <c r="O134"/>
  <c r="O133"/>
  <c r="O131"/>
  <c r="O129"/>
  <c r="O126"/>
  <c r="O124"/>
  <c r="O121"/>
  <c r="O120"/>
  <c r="O119"/>
  <c r="O118"/>
  <c r="O117"/>
  <c r="O116"/>
  <c r="O111"/>
  <c r="O107"/>
  <c r="O102"/>
  <c r="O98"/>
  <c r="O96"/>
  <c r="O94"/>
  <c r="O93"/>
  <c r="O92"/>
  <c r="O91"/>
  <c r="O89"/>
  <c r="O87"/>
  <c r="O82"/>
  <c r="O81"/>
  <c r="O77"/>
  <c r="O75"/>
  <c r="O73"/>
  <c r="O72"/>
  <c r="O70"/>
  <c r="O61"/>
  <c r="O59"/>
  <c r="O55"/>
  <c r="O53"/>
  <c r="O50"/>
  <c r="O49"/>
  <c r="O46"/>
  <c r="O45"/>
  <c r="O40"/>
  <c r="O38"/>
  <c r="O35"/>
  <c r="O31"/>
  <c r="O30"/>
  <c r="O27"/>
  <c r="O26"/>
  <c r="O25"/>
  <c r="O24"/>
  <c r="O23"/>
  <c r="O20"/>
  <c r="O16"/>
  <c r="O14"/>
  <c r="O12"/>
  <c r="O10"/>
  <c r="O9"/>
  <c r="O7"/>
  <c r="O5"/>
  <c r="O3"/>
  <c r="M2" l="1"/>
  <c r="L2"/>
  <c r="K2"/>
  <c r="F20" i="29" l="1"/>
  <c r="F22" s="1"/>
  <c r="F29" s="1"/>
  <c r="B2" i="1"/>
  <c r="O2" i="35"/>
  <c r="N2"/>
  <c r="C23" i="3"/>
  <c r="D18" i="31"/>
  <c r="C23" s="1"/>
  <c r="C24"/>
  <c r="C39" i="1" s="1"/>
  <c r="D18" i="17"/>
  <c r="C23" s="1"/>
  <c r="D18" i="19"/>
  <c r="C23" i="10"/>
  <c r="C23" i="11"/>
  <c r="C25" s="1"/>
  <c r="B39" i="1" l="1"/>
  <c r="C25" i="31"/>
  <c r="D39" i="1" s="1"/>
  <c r="G39" l="1"/>
  <c r="C24" i="17"/>
  <c r="C24" i="10"/>
  <c r="C24" i="3"/>
  <c r="C28" i="2"/>
  <c r="D18" i="18" l="1"/>
  <c r="C61" i="1" s="1"/>
  <c r="C18" i="18"/>
  <c r="B61" i="1" s="1"/>
  <c r="C24" i="19" l="1"/>
  <c r="C36" i="1" s="1"/>
  <c r="C23" i="19"/>
  <c r="C38" i="1"/>
  <c r="C37"/>
  <c r="C24" i="13"/>
  <c r="C35" i="1" s="1"/>
  <c r="C34"/>
  <c r="C33"/>
  <c r="C32"/>
  <c r="C31"/>
  <c r="C30"/>
  <c r="C29" l="1"/>
  <c r="B3" s="1"/>
  <c r="C23" i="5"/>
  <c r="D64" i="1"/>
  <c r="C25" i="16"/>
  <c r="D37" i="1" s="1"/>
  <c r="D18" i="16"/>
  <c r="E18" i="18"/>
  <c r="D61" i="1" s="1"/>
  <c r="C25" i="3"/>
  <c r="D18" i="10"/>
  <c r="C25" i="19"/>
  <c r="D36" i="1" s="1"/>
  <c r="G36" s="1"/>
  <c r="B36"/>
  <c r="D18" i="13"/>
  <c r="D18" i="3"/>
  <c r="B4" i="1" l="1"/>
  <c r="B37"/>
  <c r="G37" s="1"/>
  <c r="C25" i="17"/>
  <c r="D38" i="1" s="1"/>
  <c r="B38"/>
  <c r="C25" i="13"/>
  <c r="D35" i="1" s="1"/>
  <c r="B35"/>
  <c r="C25" i="10"/>
  <c r="D34" i="1" s="1"/>
  <c r="B34"/>
  <c r="D33"/>
  <c r="B33"/>
  <c r="C25" i="5"/>
  <c r="D32" i="1" s="1"/>
  <c r="B32"/>
  <c r="B31"/>
  <c r="C26" i="2"/>
  <c r="B30" i="1"/>
  <c r="G33" l="1"/>
  <c r="G32"/>
  <c r="G34"/>
  <c r="G38"/>
  <c r="B29"/>
  <c r="G35"/>
  <c r="D30"/>
  <c r="G30" s="1"/>
  <c r="D31"/>
  <c r="G31" s="1"/>
  <c r="D29" l="1"/>
  <c r="G29" l="1"/>
  <c r="E29"/>
  <c r="D12"/>
  <c r="D14" s="1"/>
  <c r="D16" i="53"/>
  <c r="E16"/>
</calcChain>
</file>

<file path=xl/comments1.xml><?xml version="1.0" encoding="utf-8"?>
<comments xmlns="http://schemas.openxmlformats.org/spreadsheetml/2006/main">
  <authors>
    <author>Author</author>
  </authors>
  <commentList>
    <comment ref="D217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This is against transport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6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started on 15th May, 4 CL, so 7 day salary</t>
        </r>
      </text>
    </comment>
    <comment ref="F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5 CLs, so paid for 23 days out of f 27 working days</t>
        </r>
      </text>
    </comment>
  </commentList>
</comments>
</file>

<file path=xl/sharedStrings.xml><?xml version="1.0" encoding="utf-8"?>
<sst xmlns="http://schemas.openxmlformats.org/spreadsheetml/2006/main" count="4665" uniqueCount="1273">
  <si>
    <t>June</t>
  </si>
  <si>
    <t>July</t>
  </si>
  <si>
    <t>Aug</t>
  </si>
  <si>
    <t>Sep</t>
  </si>
  <si>
    <t>Oct</t>
  </si>
  <si>
    <t>Nov</t>
  </si>
  <si>
    <t>Dec</t>
  </si>
  <si>
    <t>Jan</t>
  </si>
  <si>
    <t>Feb</t>
  </si>
  <si>
    <t>Mar</t>
  </si>
  <si>
    <t>Salary details</t>
  </si>
  <si>
    <t>Remark</t>
  </si>
  <si>
    <t>NA</t>
  </si>
  <si>
    <t>CL taken</t>
  </si>
  <si>
    <t>PerDay</t>
  </si>
  <si>
    <t>Salay to pay</t>
  </si>
  <si>
    <t>Date</t>
  </si>
  <si>
    <t>Amount</t>
  </si>
  <si>
    <t>Payment detail</t>
  </si>
  <si>
    <t>Sum</t>
  </si>
  <si>
    <t>Other</t>
  </si>
  <si>
    <t>Summary</t>
  </si>
  <si>
    <t>Total Salary</t>
  </si>
  <si>
    <t>Total payment done</t>
  </si>
  <si>
    <t>Balance</t>
  </si>
  <si>
    <t>Future CL</t>
  </si>
  <si>
    <t>Name</t>
  </si>
  <si>
    <t>Title</t>
  </si>
  <si>
    <t>Total Amount to pay</t>
  </si>
  <si>
    <t>amount Paid</t>
  </si>
  <si>
    <t>Due</t>
  </si>
  <si>
    <t>Total</t>
  </si>
  <si>
    <t>Ramswaroop</t>
  </si>
  <si>
    <t>Mahender Khokar</t>
  </si>
  <si>
    <t>Suman Parikh</t>
  </si>
  <si>
    <t>Rahul Meena</t>
  </si>
  <si>
    <t>Madhu Meena</t>
  </si>
  <si>
    <t>Seeta Jangu</t>
  </si>
  <si>
    <t>Prahlad Sepat</t>
  </si>
  <si>
    <t>Anita Bai</t>
  </si>
  <si>
    <t>Other Staff</t>
  </si>
  <si>
    <t>Totals</t>
  </si>
  <si>
    <t>Notes</t>
  </si>
  <si>
    <t>Head</t>
  </si>
  <si>
    <t>April</t>
  </si>
  <si>
    <t>May</t>
  </si>
  <si>
    <t>Misc</t>
  </si>
  <si>
    <t>Other Exp - Cash</t>
  </si>
  <si>
    <t>March</t>
  </si>
  <si>
    <t>may</t>
  </si>
  <si>
    <t>Salary Balance</t>
  </si>
  <si>
    <t>Total Due amount</t>
  </si>
  <si>
    <t>Comments</t>
  </si>
  <si>
    <t>Old Dues</t>
  </si>
  <si>
    <t>Seema Chaudhary</t>
  </si>
  <si>
    <t>Working day</t>
  </si>
  <si>
    <t>Days</t>
  </si>
  <si>
    <t>Jul</t>
  </si>
  <si>
    <t>RSK</t>
  </si>
  <si>
    <t>29/4/2019</t>
  </si>
  <si>
    <t>Chhoti Devi</t>
  </si>
  <si>
    <t>Student Name</t>
  </si>
  <si>
    <t>Mobile</t>
  </si>
  <si>
    <t>Rahul Sharma</t>
  </si>
  <si>
    <t>Pinki Sharma</t>
  </si>
  <si>
    <t>Aman Jakhar</t>
  </si>
  <si>
    <t>Priya Choudhary</t>
  </si>
  <si>
    <t>Anita Choudhary</t>
  </si>
  <si>
    <t>Harish Naga</t>
  </si>
  <si>
    <t>Gurucharan Naga</t>
  </si>
  <si>
    <t>Bindu Sepat</t>
  </si>
  <si>
    <t>Sarita Sepat</t>
  </si>
  <si>
    <t>Saniya Khokhar</t>
  </si>
  <si>
    <t>Siren Khokar</t>
  </si>
  <si>
    <t>RTE</t>
  </si>
  <si>
    <t>NO</t>
  </si>
  <si>
    <t>YES</t>
  </si>
  <si>
    <t>Manish Sepat</t>
  </si>
  <si>
    <t>Vishal Sepat</t>
  </si>
  <si>
    <t>Pooja Khokhar</t>
  </si>
  <si>
    <t>Arayan Khokar</t>
  </si>
  <si>
    <t>Sonu  Khokar</t>
  </si>
  <si>
    <t>Monika Khokar</t>
  </si>
  <si>
    <t>Subhash Bugaliya</t>
  </si>
  <si>
    <t>Abhishek Yadav</t>
  </si>
  <si>
    <t>Rinku Yadav</t>
  </si>
  <si>
    <t>Bharat Singh</t>
  </si>
  <si>
    <t>Navaneet Ola</t>
  </si>
  <si>
    <t>Pankaj Choudhary</t>
  </si>
  <si>
    <t>Rahul Ghasal</t>
  </si>
  <si>
    <t>Rahul Yadav</t>
  </si>
  <si>
    <t>Niraj Yadav</t>
  </si>
  <si>
    <t>Sneha Khokar</t>
  </si>
  <si>
    <t>Tannu Yadav</t>
  </si>
  <si>
    <t>Vishakha Choudhary</t>
  </si>
  <si>
    <t>Manshi Choudhary</t>
  </si>
  <si>
    <t>Vanshika Choudhary</t>
  </si>
  <si>
    <t>Sidharath Choudhary</t>
  </si>
  <si>
    <t>Nur</t>
  </si>
  <si>
    <t>Anjali Chopra</t>
  </si>
  <si>
    <t>Ankit Chopra</t>
  </si>
  <si>
    <t>Akul Chopra</t>
  </si>
  <si>
    <t>Prep</t>
  </si>
  <si>
    <t>Lucky Golya</t>
  </si>
  <si>
    <t>Amit Golya</t>
  </si>
  <si>
    <t>Monica Sharma</t>
  </si>
  <si>
    <t>Mushkan Choudhary</t>
  </si>
  <si>
    <t>Anjali Choudhary</t>
  </si>
  <si>
    <t>Rajpal Choudhary</t>
  </si>
  <si>
    <t>Ritu Bugaliya</t>
  </si>
  <si>
    <t>Sakshi Bugaliya</t>
  </si>
  <si>
    <t>Monica Jat</t>
  </si>
  <si>
    <t>Anand Bugaliya</t>
  </si>
  <si>
    <t>Sidharath Deshwal</t>
  </si>
  <si>
    <t>Tanisq Sharma</t>
  </si>
  <si>
    <t>Atharv Sharma</t>
  </si>
  <si>
    <t>Animesh Sharma</t>
  </si>
  <si>
    <t>Anil Devasi</t>
  </si>
  <si>
    <t>Payal Devasi</t>
  </si>
  <si>
    <t>Dipak Choudhary</t>
  </si>
  <si>
    <t>Payal Choudhary</t>
  </si>
  <si>
    <t>Divanshu Choudhary</t>
  </si>
  <si>
    <t>Lucky Choudhary</t>
  </si>
  <si>
    <t>Durga Ola</t>
  </si>
  <si>
    <t>Ansh Ola</t>
  </si>
  <si>
    <t>Ganesh Yadav</t>
  </si>
  <si>
    <t>Krishan Yadav</t>
  </si>
  <si>
    <t>Kiran Yadav</t>
  </si>
  <si>
    <t>Payal Yadav</t>
  </si>
  <si>
    <t>Ravi Yadav</t>
  </si>
  <si>
    <t>KG</t>
  </si>
  <si>
    <t>Ghanshya Takhar</t>
  </si>
  <si>
    <t>Pooja Thankhar</t>
  </si>
  <si>
    <t>5k recipt to discuss with JJ</t>
  </si>
  <si>
    <t>Komak Yadav</t>
  </si>
  <si>
    <t>Divyanshu Yadav</t>
  </si>
  <si>
    <t>Manisha Choudhary</t>
  </si>
  <si>
    <t>Arpit Choudhary</t>
  </si>
  <si>
    <t>Nisha Chandiwal</t>
  </si>
  <si>
    <t>Aman Chandiwal</t>
  </si>
  <si>
    <t>Nitesh Chaudhary</t>
  </si>
  <si>
    <t>Harshit Choudhary</t>
  </si>
  <si>
    <t>Priyanka Chandiwal</t>
  </si>
  <si>
    <t>Ritu Chandiwal</t>
  </si>
  <si>
    <t>Ravikant Chandiwal</t>
  </si>
  <si>
    <t>Simran Chandiwal</t>
  </si>
  <si>
    <t>Rohit Ola</t>
  </si>
  <si>
    <t>Tina Piploda</t>
  </si>
  <si>
    <t>Priyanka Choudhary</t>
  </si>
  <si>
    <t>Sahil Khokar</t>
  </si>
  <si>
    <t>Subham</t>
  </si>
  <si>
    <t>Khushi Khokar</t>
  </si>
  <si>
    <t>Yashu Piploda</t>
  </si>
  <si>
    <t>Himanshu Piploda</t>
  </si>
  <si>
    <t>Khushi Yadav</t>
  </si>
  <si>
    <t>Aman Yadav</t>
  </si>
  <si>
    <t>Amit Jhakar</t>
  </si>
  <si>
    <t>Anant Choudhary</t>
  </si>
  <si>
    <t>Anajali Mandiwal</t>
  </si>
  <si>
    <t>Arti Golara</t>
  </si>
  <si>
    <t>Mahender Choudhary</t>
  </si>
  <si>
    <t>Jayesh Choudhary</t>
  </si>
  <si>
    <t>Nitu Yadav</t>
  </si>
  <si>
    <t>Priyanshu Yadav</t>
  </si>
  <si>
    <t>Nisha Yadav</t>
  </si>
  <si>
    <t>Tanisha Yadav</t>
  </si>
  <si>
    <t>Ravinder Bugaliya</t>
  </si>
  <si>
    <t>Rinku Choudhary</t>
  </si>
  <si>
    <t>Rohit Choudhary</t>
  </si>
  <si>
    <t>Ashok Chodhary</t>
  </si>
  <si>
    <t>Kaushal Choudhary</t>
  </si>
  <si>
    <t>Harsh Choudhary</t>
  </si>
  <si>
    <t>Anushka Choudhary</t>
  </si>
  <si>
    <t>Ayush Choudhary</t>
  </si>
  <si>
    <t>Ritu Yadav</t>
  </si>
  <si>
    <t>Bittu Yadav</t>
  </si>
  <si>
    <t>Anushka yadav</t>
  </si>
  <si>
    <t>Riya Yadav</t>
  </si>
  <si>
    <t>Aarushi Yadav</t>
  </si>
  <si>
    <t>Rohit Jakhar</t>
  </si>
  <si>
    <t>Sonu Takhar</t>
  </si>
  <si>
    <t>Jitender Choudhary</t>
  </si>
  <si>
    <t>Anshul Yadav</t>
  </si>
  <si>
    <t>Krishan Sharma</t>
  </si>
  <si>
    <t>Anajli Kudi</t>
  </si>
  <si>
    <t>Priya Kudi</t>
  </si>
  <si>
    <t>Ayush Kudi</t>
  </si>
  <si>
    <t>Anshu Ghasal</t>
  </si>
  <si>
    <t>Himanshu Ghasal</t>
  </si>
  <si>
    <t>Kusum Khowal</t>
  </si>
  <si>
    <t>Yogita Khowal</t>
  </si>
  <si>
    <t>Tarun Khowal</t>
  </si>
  <si>
    <t>Nitin Ghasal</t>
  </si>
  <si>
    <t>Monica Ghasal</t>
  </si>
  <si>
    <t>Tanushka Choudhary</t>
  </si>
  <si>
    <t>Varsha Jat</t>
  </si>
  <si>
    <t>Yogesh Katariya</t>
  </si>
  <si>
    <t>Bhawna Katariya</t>
  </si>
  <si>
    <t>Chandan Katariys</t>
  </si>
  <si>
    <t>Kapil Verma</t>
  </si>
  <si>
    <t>Sanju Netwal</t>
  </si>
  <si>
    <t>Meena Netwal</t>
  </si>
  <si>
    <t>Komal Netwal</t>
  </si>
  <si>
    <t>Anuj Dhanka</t>
  </si>
  <si>
    <t>Ankita Dhanka</t>
  </si>
  <si>
    <t>Arun Dhanka</t>
  </si>
  <si>
    <t>Tarun Dhanka</t>
  </si>
  <si>
    <t>Aditya Khokar</t>
  </si>
  <si>
    <t>Arushi Choudhary</t>
  </si>
  <si>
    <t>Ashish Ghasal</t>
  </si>
  <si>
    <t>Mahender Aichara</t>
  </si>
  <si>
    <t>Ayush Ola</t>
  </si>
  <si>
    <t>Apeksha Aichara</t>
  </si>
  <si>
    <t>Nishant Aichara</t>
  </si>
  <si>
    <t>Manish Yadav</t>
  </si>
  <si>
    <t>Dipak Yadav</t>
  </si>
  <si>
    <t>Nikita Devasi</t>
  </si>
  <si>
    <t>Rajveer Singh</t>
  </si>
  <si>
    <t>Pooja Devasi</t>
  </si>
  <si>
    <t>Pavan Devasi</t>
  </si>
  <si>
    <t>Komak Devasi</t>
  </si>
  <si>
    <t>Kaushal Dhaka</t>
  </si>
  <si>
    <t>Ritika Yadav</t>
  </si>
  <si>
    <t>Varish Choudhary</t>
  </si>
  <si>
    <t>Vaani (RSK)</t>
  </si>
  <si>
    <t>Harshit Khokar(RSK)</t>
  </si>
  <si>
    <t>Ganesh Devasi</t>
  </si>
  <si>
    <t>Naveen Devasi</t>
  </si>
  <si>
    <t>Lakshya Samota</t>
  </si>
  <si>
    <t>Preman Samota</t>
  </si>
  <si>
    <t>Minakshi Bugaliya</t>
  </si>
  <si>
    <t>Tejal Choudhary</t>
  </si>
  <si>
    <t>Nirmal Devasi</t>
  </si>
  <si>
    <t>Narender Devasi</t>
  </si>
  <si>
    <t>Pratul Khokar</t>
  </si>
  <si>
    <t>Vikas Kumawat</t>
  </si>
  <si>
    <t>Vanshika kumawat</t>
  </si>
  <si>
    <t>Nira Kumawat</t>
  </si>
  <si>
    <t>Manas Kumawat</t>
  </si>
  <si>
    <t>Yash Dhayal</t>
  </si>
  <si>
    <t>Akshit Choudhary</t>
  </si>
  <si>
    <t>Sunaina Bugaliya</t>
  </si>
  <si>
    <t>Priya Rundla</t>
  </si>
  <si>
    <t>Aarav Rundla</t>
  </si>
  <si>
    <t>Aditya Choudhary</t>
  </si>
  <si>
    <t>Divanshi Yadav</t>
  </si>
  <si>
    <t>Vaibhav Kudi</t>
  </si>
  <si>
    <t>Adityapratap Singh</t>
  </si>
  <si>
    <t>Arushi Kasotiya</t>
  </si>
  <si>
    <t>Himanshu Kasotiya</t>
  </si>
  <si>
    <t>Ashish Kasotiya</t>
  </si>
  <si>
    <t>Ayush kasotiya</t>
  </si>
  <si>
    <t>Anushka Khokar</t>
  </si>
  <si>
    <t>Pranjal Khokar</t>
  </si>
  <si>
    <t>Ashok Rebari</t>
  </si>
  <si>
    <t>Ramesh Rebari</t>
  </si>
  <si>
    <t>Dishant Ola</t>
  </si>
  <si>
    <t>Nimisha Choudhary</t>
  </si>
  <si>
    <t>Ujjawal Sepat</t>
  </si>
  <si>
    <t>Anita Sepat</t>
  </si>
  <si>
    <t>Garima Choudhary</t>
  </si>
  <si>
    <t>Harshita Choudhary</t>
  </si>
  <si>
    <t>Harshit Jakhar</t>
  </si>
  <si>
    <t>Jashmin Bano</t>
  </si>
  <si>
    <t>Mohd Sajid</t>
  </si>
  <si>
    <t>Karthik Jakhar</t>
  </si>
  <si>
    <t>Kavya Chandeliya</t>
  </si>
  <si>
    <t>Manish Jat</t>
  </si>
  <si>
    <t>Morish Bugaliya</t>
  </si>
  <si>
    <t>Harshvardhan Shekhawat</t>
  </si>
  <si>
    <t>Arushi Jangid</t>
  </si>
  <si>
    <t>Anil Verma</t>
  </si>
  <si>
    <t>Jatin Choudhary</t>
  </si>
  <si>
    <t>Mohit Chiudhary</t>
  </si>
  <si>
    <t>Shivam Choudhary</t>
  </si>
  <si>
    <t>Ishani Choudhary</t>
  </si>
  <si>
    <t>Kuldeep Meena</t>
  </si>
  <si>
    <t>Megha Coudhary</t>
  </si>
  <si>
    <t>Ishika Choudhary</t>
  </si>
  <si>
    <t>Nitesh Bajya</t>
  </si>
  <si>
    <t>wagyashree sharma</t>
  </si>
  <si>
    <t>Anwiksha choudhary</t>
  </si>
  <si>
    <t>Viren Choudhary</t>
  </si>
  <si>
    <t>Jaya Choudhary</t>
  </si>
  <si>
    <t>Riyanshu choudhary(Manshi)</t>
  </si>
  <si>
    <t>Lokesh Choudhary</t>
  </si>
  <si>
    <t>Priyanshu Choudhary</t>
  </si>
  <si>
    <t>Akshita Choudhary</t>
  </si>
  <si>
    <t>Akshit Ola</t>
  </si>
  <si>
    <t>Kaushik natwariya</t>
  </si>
  <si>
    <t>Ritika Choudhary</t>
  </si>
  <si>
    <t>Arushi Yadav</t>
  </si>
  <si>
    <t>Yash Yadav</t>
  </si>
  <si>
    <t>Aranav Yadav</t>
  </si>
  <si>
    <t>Aarohi choudhary</t>
  </si>
  <si>
    <t>Rahan Yadav</t>
  </si>
  <si>
    <t>Mayank Choudhary</t>
  </si>
  <si>
    <t>Lakshya Yadav</t>
  </si>
  <si>
    <t>Divyanshu Choudhary</t>
  </si>
  <si>
    <t>Gross Total</t>
  </si>
  <si>
    <t>Rameswar ji</t>
  </si>
  <si>
    <t>Dana ram ji</t>
  </si>
  <si>
    <t>mummy</t>
  </si>
  <si>
    <t>sharawan ji</t>
  </si>
  <si>
    <t>Dana ram ji sepat</t>
  </si>
  <si>
    <t>Birbal ji (chacha)</t>
  </si>
  <si>
    <t>Gopal golya</t>
  </si>
  <si>
    <t>bhanwar ji khndelya</t>
  </si>
  <si>
    <t>Rajender ji</t>
  </si>
  <si>
    <t>ratan ji</t>
  </si>
  <si>
    <t>Radhamohan</t>
  </si>
  <si>
    <t>Mahveer Devasi</t>
  </si>
  <si>
    <t>Ladu ji jangu</t>
  </si>
  <si>
    <t>Babu Lal ji (Lalpura)</t>
  </si>
  <si>
    <t>bhiva ram ji</t>
  </si>
  <si>
    <t>Nathu ram ji (nana)</t>
  </si>
  <si>
    <t>sita ram ji (medical wale)-gudhaman</t>
  </si>
  <si>
    <t>Mohan ji bhewal</t>
  </si>
  <si>
    <t>babu lal ji(gudhaman)</t>
  </si>
  <si>
    <t>Kailash Ji (gudhaman)</t>
  </si>
  <si>
    <t>Govind ji(kishor pura)</t>
  </si>
  <si>
    <t>Om prakash Ji</t>
  </si>
  <si>
    <t>Suresh Kumar</t>
  </si>
  <si>
    <t>Mohan Ji piploda</t>
  </si>
  <si>
    <t>Raju Yadav (Tiba wala)</t>
  </si>
  <si>
    <t>Bahroo ram ji jakhar (dairy wale)</t>
  </si>
  <si>
    <t>Babu lal ji kishor pura</t>
  </si>
  <si>
    <t>Lalit Golada</t>
  </si>
  <si>
    <t>Rajender(Hiralal khokar brother)</t>
  </si>
  <si>
    <t>Tejpal ji (Udaan)</t>
  </si>
  <si>
    <t>Krishan Ji</t>
  </si>
  <si>
    <t xml:space="preserve">Nanchu Ram </t>
  </si>
  <si>
    <t>Subhash ji Dhayal</t>
  </si>
  <si>
    <t>Manohar Ji Jangun Mandha</t>
  </si>
  <si>
    <t>Ganesh Yadav (Tibawale yadav)</t>
  </si>
  <si>
    <t>Ramswaroop Ji Jakhar</t>
  </si>
  <si>
    <t>Shankar Ji</t>
  </si>
  <si>
    <t>Sharwan Kala (Mahender ka neighbour)</t>
  </si>
  <si>
    <t>Shivram Yadav (kishorpura)</t>
  </si>
  <si>
    <t>RamPrakash (jorpura)</t>
  </si>
  <si>
    <t>Lala Ram Ji (kabli)</t>
  </si>
  <si>
    <t>Ramkuwar Ji</t>
  </si>
  <si>
    <t>Ramlal ji khowal (bassi)</t>
  </si>
  <si>
    <t>Ghanshaym Ghasal (Jhirri)</t>
  </si>
  <si>
    <t>Ruda Ram ji khokar</t>
  </si>
  <si>
    <t>Hari Narayan Ji</t>
  </si>
  <si>
    <t>Raju Netwal (talai ke pass)</t>
  </si>
  <si>
    <t>Ramesh Ji Dhanka</t>
  </si>
  <si>
    <t>Vijay Khokar (RS foundation familiy)</t>
  </si>
  <si>
    <t>Kishor Ji (Chacha)</t>
  </si>
  <si>
    <t>Kailash Ji Aichara</t>
  </si>
  <si>
    <t>Suresh Ji ola (Patrika)</t>
  </si>
  <si>
    <t>Kamlesh Ji Aichara</t>
  </si>
  <si>
    <t>Mali Ram Ji Yadav</t>
  </si>
  <si>
    <t>Rai Singh</t>
  </si>
  <si>
    <t>Mansingh</t>
  </si>
  <si>
    <t>Kailash Ji Dhaka</t>
  </si>
  <si>
    <t>Ramniwas Ji (Lalpura)</t>
  </si>
  <si>
    <t>Bhagwan ji Jiterwal</t>
  </si>
  <si>
    <t>Saudan Rebari</t>
  </si>
  <si>
    <t>RamGopal Ji (Near Sharwan ji ola home)</t>
  </si>
  <si>
    <t>Mukesh Ji Bugalya</t>
  </si>
  <si>
    <t>Manroop Devasi (Mahaveer ka younger brother)</t>
  </si>
  <si>
    <t>Mukesh ji khokar</t>
  </si>
  <si>
    <t>Ramesh Ji (Iron work shop)</t>
  </si>
  <si>
    <t xml:space="preserve">Bajrang Ji Dhayal </t>
  </si>
  <si>
    <t>Ayush Choudhary (Seoran)</t>
  </si>
  <si>
    <t>Phool Chand Ji</t>
  </si>
  <si>
    <t>Gajanand Ji bugaliya</t>
  </si>
  <si>
    <t>Ram Ratan Ji (Sagar ki dhani, adm via Bhagwan ji)</t>
  </si>
  <si>
    <t>Kana ram ji chandiwal</t>
  </si>
  <si>
    <t>Shankar Lal (Kishorpura)</t>
  </si>
  <si>
    <t>Manish Kudi</t>
  </si>
  <si>
    <t>Banwari ji nathawat</t>
  </si>
  <si>
    <t>Premchand ji</t>
  </si>
  <si>
    <t>Ramswaroop Ji (RS Foundation)</t>
  </si>
  <si>
    <t>Nanu ji (Grandfather)</t>
  </si>
  <si>
    <t>Govardhan Mama ji</t>
  </si>
  <si>
    <t>Mukesh</t>
  </si>
  <si>
    <t>Ramnarayan ji sepat (Sement wali dhani)</t>
  </si>
  <si>
    <t>Aman Harijan</t>
  </si>
  <si>
    <t>Sanju (Staff)</t>
  </si>
  <si>
    <t>Richhpal jakhar</t>
  </si>
  <si>
    <t>Nanchu ram (Tawu ji)</t>
  </si>
  <si>
    <t>Grandson of Ruda baba</t>
  </si>
  <si>
    <t>S/o of Gopal sepat (In familiy of prahlad)</t>
  </si>
  <si>
    <t>Ram kishor Dhayal (RS ka friend)</t>
  </si>
  <si>
    <t>Jaggu Naga</t>
  </si>
  <si>
    <t>Suraj mal dhayal (</t>
  </si>
  <si>
    <t>Nursi meena</t>
  </si>
  <si>
    <t>Rajender Ghasal</t>
  </si>
  <si>
    <t>Ajay kumar</t>
  </si>
  <si>
    <t>Prahlad Goliya (Narayan Phonpha)</t>
  </si>
  <si>
    <t>??</t>
  </si>
  <si>
    <t>Shayam sundar Jakhar (Tulcha baba ki dhani)</t>
  </si>
  <si>
    <t xml:space="preserve">Sita ram ji </t>
  </si>
  <si>
    <t>Raju ji emitra</t>
  </si>
  <si>
    <t>Ramsing ji yadav(Kishorpuar</t>
  </si>
  <si>
    <t>Sita ram jangu</t>
  </si>
  <si>
    <t>Kana ram yadav (near takhar milk dairy)</t>
  </si>
  <si>
    <t>Harsh Kumawat</t>
  </si>
  <si>
    <t>Surender Kumawat (Saamne wale kumhar)</t>
  </si>
  <si>
    <t>Hira lal jangu</t>
  </si>
  <si>
    <t>Kanaram</t>
  </si>
  <si>
    <t>30/8/2019</t>
  </si>
  <si>
    <t>16/9/2019</t>
  </si>
  <si>
    <t>21/10/2019</t>
  </si>
  <si>
    <t>20/9/2019</t>
  </si>
  <si>
    <t>30/9/2019</t>
  </si>
  <si>
    <t>23/4/2019</t>
  </si>
  <si>
    <t>17/7/2019</t>
  </si>
  <si>
    <t>Kailash Khokar</t>
  </si>
  <si>
    <t>Goru ram ji</t>
  </si>
  <si>
    <t>Madan ji bugaliya</t>
  </si>
  <si>
    <t>Sita ram ji khokar</t>
  </si>
  <si>
    <t>Reason</t>
  </si>
  <si>
    <t xml:space="preserve">Total = </t>
  </si>
  <si>
    <t>26/6/2019</t>
  </si>
  <si>
    <t>19/7/2019</t>
  </si>
  <si>
    <t>pavan ji</t>
  </si>
  <si>
    <t>CLS</t>
  </si>
  <si>
    <t>Grp</t>
  </si>
  <si>
    <t>Old Due</t>
  </si>
  <si>
    <t>Gaurdian</t>
  </si>
  <si>
    <t>26/7/2019</t>
  </si>
  <si>
    <t>18/8/2019</t>
  </si>
  <si>
    <t>17/4/2019</t>
  </si>
  <si>
    <t>26/4/2019</t>
  </si>
  <si>
    <t>16/7/2019</t>
  </si>
  <si>
    <t>29/7/2019</t>
  </si>
  <si>
    <t>25/9/2019</t>
  </si>
  <si>
    <t>14/10/2019</t>
  </si>
  <si>
    <t>Challan #</t>
  </si>
  <si>
    <t>21/6/2019</t>
  </si>
  <si>
    <t>Books Returned</t>
  </si>
  <si>
    <t>After 43K books returned</t>
  </si>
  <si>
    <t>Books amount after 10% Deduction</t>
  </si>
  <si>
    <t xml:space="preserve">Dress amount </t>
  </si>
  <si>
    <t>Paid to Arora Ji</t>
  </si>
  <si>
    <t>Due in students</t>
  </si>
  <si>
    <t>Difference</t>
  </si>
  <si>
    <t>Total(A)</t>
  </si>
  <si>
    <t>Total(B)</t>
  </si>
  <si>
    <t>Remark/Drive</t>
  </si>
  <si>
    <t>RTE/TC/Old students fee/Misc Income</t>
  </si>
  <si>
    <t>Bus bookings net Income</t>
  </si>
  <si>
    <t xml:space="preserve">Total off all Misc Income(Except bus booking) = </t>
  </si>
  <si>
    <t>CL</t>
  </si>
  <si>
    <t>CLs</t>
  </si>
  <si>
    <t>Salary</t>
  </si>
  <si>
    <t>Total Payments done</t>
  </si>
  <si>
    <t>SUMMARY - Books and Uniform Both</t>
  </si>
  <si>
    <t>Arora Ji 2019-20 Statement (Page#2)</t>
  </si>
  <si>
    <t>All stationary taken from Arora Ji</t>
  </si>
  <si>
    <t>Uniforms taken from Arora Ji</t>
  </si>
  <si>
    <t>9829683882(mukesh Ji)</t>
  </si>
  <si>
    <t>7665838682(Sharwan ji)</t>
  </si>
  <si>
    <t>Total
Due</t>
  </si>
  <si>
    <t>#</t>
  </si>
  <si>
    <t xml:space="preserve">Other Income - Loan amount  </t>
  </si>
  <si>
    <t>Other Income details - Page#1</t>
  </si>
  <si>
    <t>Other Income details - Page#2</t>
  </si>
  <si>
    <t>Comments If any</t>
  </si>
  <si>
    <t>Paid (All Expenses)</t>
  </si>
  <si>
    <t>Loans</t>
  </si>
  <si>
    <t>Other Income (If any)</t>
  </si>
  <si>
    <t xml:space="preserve">Total </t>
  </si>
  <si>
    <t>Income Source</t>
  </si>
  <si>
    <t>27/11/2019</t>
  </si>
  <si>
    <t>13/12/2019</t>
  </si>
  <si>
    <t>Transport</t>
  </si>
  <si>
    <t>14/11/2019</t>
  </si>
  <si>
    <t>18/11/2019</t>
  </si>
  <si>
    <t>Sita Jangu</t>
  </si>
  <si>
    <t>Dress in stock (19-20)</t>
  </si>
  <si>
    <t>from Old stocks*</t>
  </si>
  <si>
    <t>MK will pay</t>
  </si>
  <si>
    <t>Arora Ji 2019-20 Statement (Page#1) - as on 14-Dec-19</t>
  </si>
  <si>
    <t>Amount From Old stock sell</t>
  </si>
  <si>
    <t>sold out</t>
  </si>
  <si>
    <t>Old stock</t>
  </si>
  <si>
    <t>Old stock total remaing</t>
  </si>
  <si>
    <t>Old stock remaining</t>
  </si>
  <si>
    <t>17/1/2020</t>
  </si>
  <si>
    <t>13/1/2020</t>
  </si>
  <si>
    <t>Till 31 March 2020.</t>
  </si>
  <si>
    <t>Used in School(fee, salary, stationalr, adv, defaulted students(who left)…)</t>
  </si>
  <si>
    <t>Till 31 March 2020.(31618)</t>
  </si>
  <si>
    <t>session 18-19 stock(27780)</t>
  </si>
  <si>
    <t>Books in stock</t>
  </si>
  <si>
    <t>of 2019-20 session</t>
  </si>
  <si>
    <t>Dress in stock (2019-20)</t>
  </si>
  <si>
    <t>Total (A) - Total(B) - MK to pay</t>
  </si>
  <si>
    <t>Stock dress of session 18-19</t>
  </si>
  <si>
    <t>Sold old stock during 19-20</t>
  </si>
  <si>
    <t>Stock left</t>
  </si>
  <si>
    <t>MK To pay</t>
  </si>
  <si>
    <t>Poonam Gupta</t>
  </si>
  <si>
    <t>Payable in
2019-20</t>
  </si>
  <si>
    <t>Actual Fee
2020-21</t>
  </si>
  <si>
    <t>Payable in
2020-21</t>
  </si>
  <si>
    <t>Paid 
Apr-20 To
March-21</t>
  </si>
  <si>
    <t>10th</t>
  </si>
  <si>
    <t>9t</t>
  </si>
  <si>
    <t>8th</t>
  </si>
  <si>
    <t>7th</t>
  </si>
  <si>
    <t>6th</t>
  </si>
  <si>
    <t>5th</t>
  </si>
  <si>
    <t>4th</t>
  </si>
  <si>
    <t>3rd</t>
  </si>
  <si>
    <t>2nd</t>
  </si>
  <si>
    <t>1st</t>
  </si>
  <si>
    <t>Prep/UKG</t>
  </si>
  <si>
    <t>KG/LKG</t>
  </si>
  <si>
    <t>11th</t>
  </si>
  <si>
    <t>D/O Banwari ji (bhanwar khandelya group)</t>
  </si>
  <si>
    <t>Ratan ji lalpura</t>
  </si>
  <si>
    <t>Defaulted</t>
  </si>
  <si>
    <t>D/O Mukesh Ji(Kailash Ji brother)</t>
  </si>
  <si>
    <t>(D) - Vinayak - Total Amount to pay (A + B )</t>
  </si>
  <si>
    <t>(F) - Vinayak - Total Due Till today (D - E)</t>
  </si>
  <si>
    <t>Diesel Cash</t>
  </si>
  <si>
    <t>Diesel Receipt</t>
  </si>
  <si>
    <t>Fee during 2020-21</t>
  </si>
  <si>
    <t>Bus bookings 2020-21</t>
  </si>
  <si>
    <t>RTE, TC, adm fee, old student fee..</t>
  </si>
  <si>
    <t>Misc via students</t>
  </si>
  <si>
    <t>Fee of regular students</t>
  </si>
  <si>
    <t>Ramcharan Ji(BO Manohar ji)</t>
  </si>
  <si>
    <t>Daksh Choudhary</t>
  </si>
  <si>
    <t>DO Pooran ji</t>
  </si>
  <si>
    <t>****</t>
  </si>
  <si>
    <t>Via Prahlad ji</t>
  </si>
  <si>
    <t>Kajod Ram ji ghoslya</t>
  </si>
  <si>
    <t>Bhafwan sahay Jangu</t>
  </si>
  <si>
    <t>Manish Ola</t>
  </si>
  <si>
    <t>Babu lal Jangu</t>
  </si>
  <si>
    <t>Kana ram ji(Dada)</t>
  </si>
  <si>
    <t>Phool Ji Ghasal (Nana)</t>
  </si>
  <si>
    <t>22/6/2020</t>
  </si>
  <si>
    <t>19/6/2020</t>
  </si>
  <si>
    <t>Old due + Current</t>
  </si>
  <si>
    <t>Invoice</t>
  </si>
  <si>
    <t>Content</t>
  </si>
  <si>
    <t>14/5/2020</t>
  </si>
  <si>
    <t>000027</t>
  </si>
  <si>
    <t>Sample books 1st to 9</t>
  </si>
  <si>
    <t>29/5/2020</t>
  </si>
  <si>
    <t>000046</t>
  </si>
  <si>
    <t>Nur to 9 each 5 set</t>
  </si>
  <si>
    <t>30/5/2020</t>
  </si>
  <si>
    <t>000050</t>
  </si>
  <si>
    <t>10th class 5 set..etc</t>
  </si>
  <si>
    <t>000053</t>
  </si>
  <si>
    <t>10th match, 6/7th hindin/english grammer….</t>
  </si>
  <si>
    <t>000071</t>
  </si>
  <si>
    <t>3 set class#4, 5 set class-5, 2 set for 6th</t>
  </si>
  <si>
    <t>000081</t>
  </si>
  <si>
    <t>8th class 5 set, 7th class 3 set, 4th-2 set, 3rd- 3 set</t>
  </si>
  <si>
    <t>23/7/2020</t>
  </si>
  <si>
    <t>000114</t>
  </si>
  <si>
    <t>7th 2 set, 5th 2 set</t>
  </si>
  <si>
    <t>000129</t>
  </si>
  <si>
    <t>9th 1 set, 1st 2 set</t>
  </si>
  <si>
    <t>000133</t>
  </si>
  <si>
    <t>4th 2 set, 1st 1 set</t>
  </si>
  <si>
    <t>Books delievered</t>
  </si>
  <si>
    <t>Cash</t>
  </si>
  <si>
    <t>24/7/2020</t>
  </si>
  <si>
    <t>Sample bill</t>
  </si>
  <si>
    <t>Return</t>
  </si>
  <si>
    <t>Payments</t>
  </si>
  <si>
    <t>Stock</t>
  </si>
  <si>
    <t>Class</t>
  </si>
  <si>
    <t>Nursery</t>
  </si>
  <si>
    <t>Sets</t>
  </si>
  <si>
    <t>Misc#1</t>
  </si>
  <si>
    <t>Misc#2</t>
  </si>
  <si>
    <t>Invoice Amout</t>
  </si>
  <si>
    <t>After 10% Disc</t>
  </si>
  <si>
    <t>Invoice - Stock</t>
  </si>
  <si>
    <t>Paid</t>
  </si>
  <si>
    <t>Payable as on today</t>
  </si>
  <si>
    <t>-</t>
  </si>
  <si>
    <t>Last payment  5k 2/6</t>
  </si>
  <si>
    <t>Last payment 10k 22/6</t>
  </si>
  <si>
    <t>Last payment 18/8, 6K (Need to talk to Bhanwar Ji)</t>
  </si>
  <si>
    <t>last payment 11/11, 10K (Session 20-21)</t>
  </si>
  <si>
    <t>Old dues 6k, and 5k session 20-21</t>
  </si>
  <si>
    <t>Old dues, last payment 5 K 30/9</t>
  </si>
  <si>
    <t>Last payment 14/12, 2K</t>
  </si>
  <si>
    <t>Last payment 26/10, 3K</t>
  </si>
  <si>
    <t>last payment 7 K on 26/10</t>
  </si>
  <si>
    <t>last payment 5k on 13/8</t>
  </si>
  <si>
    <t>last payment 5 K 17/11 (Earlier 4k and 5K ater after april 20</t>
  </si>
  <si>
    <t>last payment 3k on 26 /10</t>
  </si>
  <si>
    <t>last payment (11/5) 26K</t>
  </si>
  <si>
    <t>lst payment 5k on 17/10</t>
  </si>
  <si>
    <t>last payment 500 on 17/6</t>
  </si>
  <si>
    <t>Last payment 1k on 6/8, 1K adjusted against MK salary</t>
  </si>
  <si>
    <t>last payment 5k on 11/7 (earlier 6K)</t>
  </si>
  <si>
    <t>last payment 2k on 11/12</t>
  </si>
  <si>
    <t>Last payment 4k on 28/5</t>
  </si>
  <si>
    <t>Last payment 2k on 9/6</t>
  </si>
  <si>
    <t>Last payment 4k on 7/8</t>
  </si>
  <si>
    <t>last payment 5k on 21/7</t>
  </si>
  <si>
    <t>last payment 2k on 13/10</t>
  </si>
  <si>
    <t>last payment 3k on 16/7</t>
  </si>
  <si>
    <t>last payment 4k on 12/6</t>
  </si>
  <si>
    <t>last payment 5k on 22/9</t>
  </si>
  <si>
    <t>last payment 3300 on 14/12</t>
  </si>
  <si>
    <t>Mahender Khokar @ 10200 (1st April 2020 To 31st March 2021) - Left Dec 2020</t>
  </si>
  <si>
    <t>Left</t>
  </si>
  <si>
    <t>Month</t>
  </si>
  <si>
    <t>RS Foundation Tcher</t>
  </si>
  <si>
    <t>cash</t>
  </si>
  <si>
    <t>Rahul Meena@8500 (1st April 2021 To 31st March 2022)</t>
  </si>
  <si>
    <t>Seeta Jangu@ 4000 (1st April 2021 To 31st March 2022)</t>
  </si>
  <si>
    <t>Miscellaneous Expenses Sumarry 2021-22</t>
  </si>
  <si>
    <t>Parent</t>
  </si>
  <si>
    <t>Due Till 20-21</t>
  </si>
  <si>
    <t>Updated on March 2022</t>
  </si>
  <si>
    <t>Ramdev Ji</t>
  </si>
  <si>
    <t>Passed</t>
  </si>
  <si>
    <t>Birdichang ji</t>
  </si>
  <si>
    <t>Guru Chrana</t>
  </si>
  <si>
    <t>Sita Ram Ji</t>
  </si>
  <si>
    <t>Puja Khokar</t>
  </si>
  <si>
    <t>Goru Ram Ji</t>
  </si>
  <si>
    <t>Madan Ji Bugaliya</t>
  </si>
  <si>
    <t>Mangal Sepat</t>
  </si>
  <si>
    <t>Saniya Khokar</t>
  </si>
  <si>
    <t>Kailash JI</t>
  </si>
  <si>
    <t>Rahul Choudhary</t>
  </si>
  <si>
    <t>Ratan Lal Ji</t>
  </si>
  <si>
    <t>No Dues</t>
  </si>
  <si>
    <t>Ram avatart Ji</t>
  </si>
  <si>
    <t>Rameshwar Ji</t>
  </si>
  <si>
    <t>JLB</t>
  </si>
  <si>
    <t>Current Session Fee (21-22)</t>
  </si>
  <si>
    <t>Shoji Ram</t>
  </si>
  <si>
    <t>Sneha Khokhar</t>
  </si>
  <si>
    <t>Mahender Kh</t>
  </si>
  <si>
    <t>Navneet Ola</t>
  </si>
  <si>
    <t>Dana Ram Ola</t>
  </si>
  <si>
    <t>Tanu Yadav</t>
  </si>
  <si>
    <t>Ramesh Ji Yadav</t>
  </si>
  <si>
    <t>Dana Ram ji Sepat</t>
  </si>
  <si>
    <t>Vishakah</t>
  </si>
  <si>
    <t>Manshi</t>
  </si>
  <si>
    <t>Vanshikha</t>
  </si>
  <si>
    <t>Sidharath</t>
  </si>
  <si>
    <t>Monica</t>
  </si>
  <si>
    <t>Aryan</t>
  </si>
  <si>
    <t>Sonu</t>
  </si>
  <si>
    <t>Sarvan Ji Ghashal</t>
  </si>
  <si>
    <t>Rakesh Yadav</t>
  </si>
  <si>
    <t>Bhumica Choudhary</t>
  </si>
  <si>
    <t>Arnav Choudhary</t>
  </si>
  <si>
    <t>Mukesh Ola</t>
  </si>
  <si>
    <t>Ram swaroop Teterwal</t>
  </si>
  <si>
    <t>Nanu Ram JI</t>
  </si>
  <si>
    <t>Vinod Sharma</t>
  </si>
  <si>
    <t>Combined</t>
  </si>
  <si>
    <t>Combined-No dues</t>
  </si>
  <si>
    <t>Mali Ram Ji</t>
  </si>
  <si>
    <t>Sunil Sharma</t>
  </si>
  <si>
    <t>Rajesh Sharma</t>
  </si>
  <si>
    <t>Sanjay Sharma</t>
  </si>
  <si>
    <t>Krishan Sharam</t>
  </si>
  <si>
    <t>Ram Prakash Ji</t>
  </si>
  <si>
    <t>Mohit Sharma</t>
  </si>
  <si>
    <t>Ram Rai Ji</t>
  </si>
  <si>
    <t>Manish Choudhary</t>
  </si>
  <si>
    <t>Roop Narayan  Bajya</t>
  </si>
  <si>
    <t>Pavan Ji Chopra</t>
  </si>
  <si>
    <t>Lucky Goliya</t>
  </si>
  <si>
    <t>Gopal Ji Golya</t>
  </si>
  <si>
    <t>Amit Golya (rte)</t>
  </si>
  <si>
    <t>Ánjali</t>
  </si>
  <si>
    <t>Rajpal</t>
  </si>
  <si>
    <t>Bhanwar Ji Khandelya</t>
  </si>
  <si>
    <t>Rajender Ji Bugaliya</t>
  </si>
  <si>
    <t>Shakshi Bugaliya</t>
  </si>
  <si>
    <t>Anad Bugaliya</t>
  </si>
  <si>
    <t>Ratan Ji Bugaliya</t>
  </si>
  <si>
    <t>Yugantar Choudhary</t>
  </si>
  <si>
    <t>Harshit Choudhry</t>
  </si>
  <si>
    <t>Ratan Ji</t>
  </si>
  <si>
    <t>Tanishq Sharma</t>
  </si>
  <si>
    <t>Radha Mohan Ji</t>
  </si>
  <si>
    <t>Dhan Raj Yadav</t>
  </si>
  <si>
    <t>Tej Pal Yadav</t>
  </si>
  <si>
    <t>Mahaveer Devasi</t>
  </si>
  <si>
    <t>Anil Dedvasi (RTE)</t>
  </si>
  <si>
    <t>Deepak Choudhary</t>
  </si>
  <si>
    <t>Ladu Ram JI (Jangu)</t>
  </si>
  <si>
    <t>Payal CH</t>
  </si>
  <si>
    <t>Lucky Ch</t>
  </si>
  <si>
    <t>Divanshu</t>
  </si>
  <si>
    <t>Babu Lal ji Yadav</t>
  </si>
  <si>
    <t>Puja Takhar</t>
  </si>
  <si>
    <t>Bhiva Ram JI</t>
  </si>
  <si>
    <t>Ghanshyam Takhar(RTE)</t>
  </si>
  <si>
    <t>Komal Yadav</t>
  </si>
  <si>
    <t>Divanshu Yadav</t>
  </si>
  <si>
    <t>Nathu Ji Yadav</t>
  </si>
  <si>
    <t>Arpit Chandiwal</t>
  </si>
  <si>
    <t>Sita ram ji Chandiwal</t>
  </si>
  <si>
    <t>Babu Lal ji Chandiwal</t>
  </si>
  <si>
    <t>Nitesh Choudhary</t>
  </si>
  <si>
    <t>Rajender bhamu</t>
  </si>
  <si>
    <t>Kailash Ji Chandiwal</t>
  </si>
  <si>
    <t>Shish Ram ji Ola</t>
  </si>
  <si>
    <t>Priyanka Khokar</t>
  </si>
  <si>
    <t>Sahil</t>
  </si>
  <si>
    <t>Khsushi Khokar</t>
  </si>
  <si>
    <t>Suresh Ji Khokar</t>
  </si>
  <si>
    <t>Shubam</t>
  </si>
  <si>
    <t>Givind Ji Ola</t>
  </si>
  <si>
    <t>Siren Khokar (RTE)</t>
  </si>
  <si>
    <t>Kailash</t>
  </si>
  <si>
    <t>Tina Pipload</t>
  </si>
  <si>
    <t>Mukesh Pipload</t>
  </si>
  <si>
    <t>Kamlesh Natwaria</t>
  </si>
  <si>
    <t>Bhiva ram natwaria</t>
  </si>
  <si>
    <t>Ajay Choudhary</t>
  </si>
  <si>
    <t>Ashok Choudhary</t>
  </si>
  <si>
    <t>Amkit Kumar Jakhar</t>
  </si>
  <si>
    <t>Bhairu Ji Jakhar</t>
  </si>
  <si>
    <t>Anjali Mandiwal</t>
  </si>
  <si>
    <t>Mukesh Mandiwal</t>
  </si>
  <si>
    <t>Mushkan Choudhanry</t>
  </si>
  <si>
    <t>Arti Choudhary</t>
  </si>
  <si>
    <t>Lalit Golara</t>
  </si>
  <si>
    <t>Anushka</t>
  </si>
  <si>
    <t>Ayush</t>
  </si>
  <si>
    <t>UKG</t>
  </si>
  <si>
    <t>Manohar Jangu</t>
  </si>
  <si>
    <t>Bhanwar Ji Naga</t>
  </si>
  <si>
    <t>Jitender Kala</t>
  </si>
  <si>
    <t>Mr. Sharwan Kala</t>
  </si>
  <si>
    <t>Rajnder Khokar</t>
  </si>
  <si>
    <t>Manshi Khokar(RTE)</t>
  </si>
  <si>
    <t>Jayesh Khokra(RTE)</t>
  </si>
  <si>
    <t>Priya Yadav</t>
  </si>
  <si>
    <t>Tej Pal Yadav (Udaan)</t>
  </si>
  <si>
    <t>Nanchu ji bugaliye</t>
  </si>
  <si>
    <t>Subhash Dhayal</t>
  </si>
  <si>
    <t>Bittu</t>
  </si>
  <si>
    <t>Anushka Yadav</t>
  </si>
  <si>
    <t>Ganesh/Ramesh Yadav</t>
  </si>
  <si>
    <t>Ram swaroop Jakhar</t>
  </si>
  <si>
    <t>Lakshman Takhar</t>
  </si>
  <si>
    <t xml:space="preserve">Naresh Choudhary </t>
  </si>
  <si>
    <t>Suraj Choudhary</t>
  </si>
  <si>
    <t>Jaipal Choudhary</t>
  </si>
  <si>
    <t>Tejpal kali rawna (Started Dec-21) @8000/hr, Maths, 9-10th</t>
  </si>
  <si>
    <t>Rajesh K sharma, @8500, started oct-2021, Hindi teacher</t>
  </si>
  <si>
    <t>Harlal Bochlya, Oct-21, driver</t>
  </si>
  <si>
    <t xml:space="preserve">RS Foundation </t>
  </si>
  <si>
    <t>All April</t>
  </si>
  <si>
    <t>Tej pal kalirawna</t>
  </si>
  <si>
    <t>Balji</t>
  </si>
  <si>
    <t>Mukesh K Nitharwal</t>
  </si>
  <si>
    <t>Rajesh k sharma</t>
  </si>
  <si>
    <t>Harlal bochlya</t>
  </si>
  <si>
    <t>Diesel 2022-23 Statement</t>
  </si>
  <si>
    <t>(A) - Vinayak - OLD Dues (Till 31 Mar 2022)</t>
  </si>
  <si>
    <t>(B) - Vinayak - Receipts Amount in 2022-23</t>
  </si>
  <si>
    <t>(C) - Vinayak - CASH Total in 2022-23</t>
  </si>
  <si>
    <t>(E) - Vinayak - Paid in 2022-23</t>
  </si>
  <si>
    <t>Opening Bal</t>
  </si>
  <si>
    <t>Pavan Ji Dhayal</t>
  </si>
  <si>
    <t>Ramswaroop Ji Rolaniya</t>
  </si>
  <si>
    <t>Arushi (RTE)</t>
  </si>
  <si>
    <t>Vijya Choudhary</t>
  </si>
  <si>
    <t>Lala Ram Kudi</t>
  </si>
  <si>
    <t>Anjali Kudi</t>
  </si>
  <si>
    <t>Fee Due</t>
  </si>
  <si>
    <t>RTE Due</t>
  </si>
  <si>
    <t>Dues on school and on gaurdians as on May-2022</t>
  </si>
  <si>
    <t>Petrol Pump</t>
  </si>
  <si>
    <t>For Credit</t>
  </si>
  <si>
    <t>For Debit</t>
  </si>
  <si>
    <t>Othe (tyre, books…..)</t>
  </si>
  <si>
    <t>Pre &amp; KG yet to be  added in this amout</t>
  </si>
  <si>
    <t>Till 31st March</t>
  </si>
  <si>
    <t>All Income in 2022-23</t>
  </si>
  <si>
    <t>All Expenses in 2022-23</t>
  </si>
  <si>
    <t>Apr-Income</t>
  </si>
  <si>
    <t>Total Exp</t>
  </si>
  <si>
    <t>Mujesh Ji Jodha</t>
  </si>
  <si>
    <t>Ramswaroop Khokar @30000 (1st April 2022 To 31st March 2023)</t>
  </si>
  <si>
    <t>27 day</t>
  </si>
  <si>
    <t>Seema Madam (1st April 2022 To 31st March 2023) @8000, after July 11000</t>
  </si>
  <si>
    <t>Suman Parikh @8500 (1st April 2022 To 31st March 2023) Starting Jul -11000/-</t>
  </si>
  <si>
    <t>old adjustment</t>
  </si>
  <si>
    <t>Madhu meena @ 7000 (1st April 2022 To 31st March 2023)</t>
  </si>
  <si>
    <t>Prahalad Sepat @July 9800 (1st April 2022 To 31st March 2023)</t>
  </si>
  <si>
    <t>Anita Bai Ji @4000 (1st April 2022 To 31st March 2023), Since July 5000 per month</t>
  </si>
  <si>
    <t>Chhoti Devi Verma @ 7500 (April 2022 To 31st March 2023) since July 8500</t>
  </si>
  <si>
    <t>Poonam Gupta @5K( april 2022 To 31st March 2023). Since July 7000</t>
  </si>
  <si>
    <t>Sanskrit, problem class (26 april 2022, all clear)</t>
  </si>
  <si>
    <t>Guest Staff (payments April 2022 to March 2023)</t>
  </si>
  <si>
    <t>Balji dhayal, driver, @9000, joined Sep-21 (Session 22-23)</t>
  </si>
  <si>
    <t>Mukesh  K Nitharwal, math teacher, @18000( Session 22-23). Since Jul 20K</t>
  </si>
  <si>
    <t>Sayar Gujjar</t>
  </si>
  <si>
    <t>Bhagirath Yadav</t>
  </si>
  <si>
    <t>Driver for few days</t>
  </si>
  <si>
    <t>Suresh Dhayal</t>
  </si>
  <si>
    <t>Driver(left in between)</t>
  </si>
  <si>
    <t>Sitaram Ghashal (Driver) @ 9500/-</t>
  </si>
  <si>
    <t>Ram Avatar Sharma(Driver) @ 10000/-</t>
  </si>
  <si>
    <t>Sattar Khan Van</t>
  </si>
  <si>
    <t>Sattar Khan Van (1100/day)</t>
  </si>
  <si>
    <t>Ashok Kumawat(Maths) - 16000/- (Session 22-23)</t>
  </si>
  <si>
    <t>Lakashman Kumawat(Physics) - 16000 for 4 hrs (Session 22-23)</t>
  </si>
  <si>
    <t>Praveen Kumar (SST) - 13000/- Three Hrs (Session 22-23)</t>
  </si>
  <si>
    <t>Rekha Meena (Hindi), 9000/-(Session 22-23)</t>
  </si>
  <si>
    <t>Rekha Meena (Hindi)</t>
  </si>
  <si>
    <t>Praveen Kumar(SST)</t>
  </si>
  <si>
    <t>Lakashman Kumawat(Phy)</t>
  </si>
  <si>
    <t>Sitaram Ghashal (Driver)</t>
  </si>
  <si>
    <t>Ram Avatar Sharma(Driver)</t>
  </si>
  <si>
    <t>Ashok Kumawat(Maths)</t>
  </si>
  <si>
    <t>Renu Marwal(EVS)</t>
  </si>
  <si>
    <t>Receipts</t>
  </si>
  <si>
    <t>Apr-Gen-exp</t>
  </si>
  <si>
    <t>May-Income</t>
  </si>
  <si>
    <t>Jun-Gen-exp</t>
  </si>
  <si>
    <t>Income</t>
  </si>
  <si>
    <t>Salary Exp</t>
  </si>
  <si>
    <t>Expense Gen</t>
  </si>
  <si>
    <t>Income Sumarry 2022-23</t>
  </si>
  <si>
    <t>Due noted till last macrh acc closing</t>
  </si>
  <si>
    <t>Session Fee</t>
  </si>
  <si>
    <t xml:space="preserve">Raju Ji Yadav </t>
  </si>
  <si>
    <t>Om Prakash ji piploda</t>
  </si>
  <si>
    <t>Ram Kumar Ji Ghasal</t>
  </si>
  <si>
    <t>Yogita</t>
  </si>
  <si>
    <t>Tarun(RTE)</t>
  </si>
  <si>
    <t>Ram lal Khowal</t>
  </si>
  <si>
    <t>Kailash Aichara</t>
  </si>
  <si>
    <t>Concession</t>
  </si>
  <si>
    <t>Monica Ghsal</t>
  </si>
  <si>
    <t>Daksh Ghashal</t>
  </si>
  <si>
    <t>Ghanshyam Ghashal</t>
  </si>
  <si>
    <t>LKG</t>
  </si>
  <si>
    <t>Tanushka Jat</t>
  </si>
  <si>
    <t>Kalu ram jat</t>
  </si>
  <si>
    <t>Harsh Jat</t>
  </si>
  <si>
    <t>Nand Kishor Ji Ghashal</t>
  </si>
  <si>
    <t>Bhavna Katariya</t>
  </si>
  <si>
    <t>Chandan</t>
  </si>
  <si>
    <t>Kapil Katariya</t>
  </si>
  <si>
    <t>Hari Narayan Ji Katariya</t>
  </si>
  <si>
    <t>Apeksha Aichra</t>
  </si>
  <si>
    <t>Kailash Jat</t>
  </si>
  <si>
    <t>Raju Netwal</t>
  </si>
  <si>
    <t>New Adm</t>
  </si>
  <si>
    <t>prep</t>
  </si>
  <si>
    <t>Sitaram Chandiwal</t>
  </si>
  <si>
    <t>Harshit Khokar</t>
  </si>
  <si>
    <t>Vani Khokar</t>
  </si>
  <si>
    <t>RS</t>
  </si>
  <si>
    <t>Manish Yadav (RTE)</t>
  </si>
  <si>
    <t>Mali Ram Yadav</t>
  </si>
  <si>
    <t>Nikita Devasi(RTE)</t>
  </si>
  <si>
    <t>Rajveer Devasi (RTE)</t>
  </si>
  <si>
    <t>Rai Singh Devasi</t>
  </si>
  <si>
    <t>Puja Devasi</t>
  </si>
  <si>
    <t>Komal Devasi(RTE)</t>
  </si>
  <si>
    <t>Pavan Devasi(RTE)</t>
  </si>
  <si>
    <t>Man singh Devasi</t>
  </si>
  <si>
    <t>15600 to 10K*</t>
  </si>
  <si>
    <t>Shankar JI Yadav</t>
  </si>
  <si>
    <t>Garvit Yadav</t>
  </si>
  <si>
    <t>Suryan Khokar</t>
  </si>
  <si>
    <t>Neha Khokar</t>
  </si>
  <si>
    <t>Sharwan Ji Khokar</t>
  </si>
  <si>
    <t>Sandip Yadav</t>
  </si>
  <si>
    <t>Piyus Yadav</t>
  </si>
  <si>
    <t>Ram Kishor Ji</t>
  </si>
  <si>
    <t>Via RSK</t>
  </si>
  <si>
    <t>Bhagwani Ji Jiterwal</t>
  </si>
  <si>
    <t>Kanhya Lal Chandiwal</t>
  </si>
  <si>
    <t>Saudaan Devasi</t>
  </si>
  <si>
    <t>Naveen Devasi(RTE)</t>
  </si>
  <si>
    <t>Shankar Lal Ji</t>
  </si>
  <si>
    <t>Ram Gopal Ji</t>
  </si>
  <si>
    <t>Manroop Devasi</t>
  </si>
  <si>
    <t>Narender Devasi (RTE)</t>
  </si>
  <si>
    <t>Pratul Choudhary</t>
  </si>
  <si>
    <t>Mukesh Ji Khokar</t>
  </si>
  <si>
    <t>Ayush Bugaliya</t>
  </si>
  <si>
    <t>Gajanan Ji Bugaliya</t>
  </si>
  <si>
    <t>Manish Ji Kudi</t>
  </si>
  <si>
    <t>Viakas Kumawat</t>
  </si>
  <si>
    <t>Neeraj Kumawat</t>
  </si>
  <si>
    <t>Vanshika Kumawat</t>
  </si>
  <si>
    <t xml:space="preserve">Ramesh Kumawat </t>
  </si>
  <si>
    <t>Bajrang Ji Dhayal</t>
  </si>
  <si>
    <t>Yashmeen Choudhary</t>
  </si>
  <si>
    <t>Jashmeen Choudhary</t>
  </si>
  <si>
    <t>Ramesh Kudi</t>
  </si>
  <si>
    <t>Dharam Raj</t>
  </si>
  <si>
    <t>Madan Lal Ji</t>
  </si>
  <si>
    <t>Riyanshi Choudhary</t>
  </si>
  <si>
    <t>Ram Swaroop (RS Foundation)</t>
  </si>
  <si>
    <t>Pranjal Choudhary(RTE)</t>
  </si>
  <si>
    <t>Akul Choudhary</t>
  </si>
  <si>
    <t>Manvi Choudhary</t>
  </si>
  <si>
    <t>Shayam Ji Sepat</t>
  </si>
  <si>
    <t>Ayush Choudhary(RTE)</t>
  </si>
  <si>
    <t>Ishika Choudhary(RTE)</t>
  </si>
  <si>
    <t>Nimisha Chiudhary</t>
  </si>
  <si>
    <t>Manav (Mannu)</t>
  </si>
  <si>
    <t>Vishal Bhamu</t>
  </si>
  <si>
    <t>Govardhan Ji Ola</t>
  </si>
  <si>
    <t xml:space="preserve">Suresh Ji Ola </t>
  </si>
  <si>
    <t>Anita Bai Ji</t>
  </si>
  <si>
    <t>Aman Harijan(RTE)</t>
  </si>
  <si>
    <t>Garima Choudhary(RTE)</t>
  </si>
  <si>
    <t>Harshita Choudhary(RTE)</t>
  </si>
  <si>
    <t>Mahesh K Ghoshlay(Sanju madam)</t>
  </si>
  <si>
    <t>Vijendar Ji Shekhawat</t>
  </si>
  <si>
    <t>Jaismee Bano</t>
  </si>
  <si>
    <t>Mohmd Sajid</t>
  </si>
  <si>
    <t>Sattar Mohmd</t>
  </si>
  <si>
    <t>Kartik Choudhary</t>
  </si>
  <si>
    <t>Birda Ji Jakhar</t>
  </si>
  <si>
    <t>Mohan Ji Chandelya</t>
  </si>
  <si>
    <t>Kana ji Jangu</t>
  </si>
  <si>
    <t>Shyam Sundar Ji Bugaliya</t>
  </si>
  <si>
    <t>Hema Raj Ji sepat</t>
  </si>
  <si>
    <t>Nishant Sepat(RTE)</t>
  </si>
  <si>
    <t>Ujjawal Sepat(RTE)</t>
  </si>
  <si>
    <t>Ram Narayan Ji Sepat</t>
  </si>
  <si>
    <t>Inc-Fare</t>
  </si>
  <si>
    <t>Sahil Chandiwal</t>
  </si>
  <si>
    <t>Sukh Ram Chadiwal</t>
  </si>
  <si>
    <t>Phool Chand Shyoran</t>
  </si>
  <si>
    <t>Hem Raj Verma</t>
  </si>
  <si>
    <t>Ram Kishor Dhayal</t>
  </si>
  <si>
    <t>Mohit Choudhay(RTE)</t>
  </si>
  <si>
    <t>Kaniska Meena</t>
  </si>
  <si>
    <t>Narender K Meena</t>
  </si>
  <si>
    <t>Himanshu Choudhary</t>
  </si>
  <si>
    <t>Sita Ram Ji Ghashal</t>
  </si>
  <si>
    <t>Kanishka Sen</t>
  </si>
  <si>
    <t>Narender Ji Sen</t>
  </si>
  <si>
    <t>Chahna Sen</t>
  </si>
  <si>
    <t>Penjal Choudhary</t>
  </si>
  <si>
    <t>Kanhya Lal Ji Bana</t>
  </si>
  <si>
    <t>Ravi Meena</t>
  </si>
  <si>
    <t>Vinay Meena</t>
  </si>
  <si>
    <t>Shyoram Ji Meena</t>
  </si>
  <si>
    <t>Akshika Choudhary(RTE)</t>
  </si>
  <si>
    <t>Anviksha Choudhary(RTE)</t>
  </si>
  <si>
    <t>Prahlad Ji Golya</t>
  </si>
  <si>
    <t>Kailash Ji Jat</t>
  </si>
  <si>
    <t>Banwari Lal Ji Khandelya</t>
  </si>
  <si>
    <t>Kanika Choudhary</t>
  </si>
  <si>
    <t>Jhabar Mal Ji Sepat</t>
  </si>
  <si>
    <t>Riyanshu Choudhary</t>
  </si>
  <si>
    <t>Shyam sundar Ji Jakhar</t>
  </si>
  <si>
    <t>Manshi Choudhary(RTE)</t>
  </si>
  <si>
    <t>Hitesh Kumar Bajya</t>
  </si>
  <si>
    <t>Ajay Bajya</t>
  </si>
  <si>
    <t>Rehan Yadav</t>
  </si>
  <si>
    <t>Riya Choudhary</t>
  </si>
  <si>
    <t>Gopal Lal Choudhary</t>
  </si>
  <si>
    <t>Simaran Chandiwal</t>
  </si>
  <si>
    <t>Mukesh Ji Chandiwal</t>
  </si>
  <si>
    <t>Vageshree Sharma</t>
  </si>
  <si>
    <t>Surender Kumawat</t>
  </si>
  <si>
    <t>Bhavya Kumavat</t>
  </si>
  <si>
    <t>Prakash Kumawavt</t>
  </si>
  <si>
    <t>Harsh Kumavat</t>
  </si>
  <si>
    <t>Lajvanti Sen</t>
  </si>
  <si>
    <t>Surender Sen</t>
  </si>
  <si>
    <t>Chahna Sen (Name change)</t>
  </si>
  <si>
    <t>Priyank Choudhary</t>
  </si>
  <si>
    <t>Subhash Ji Chandiwal</t>
  </si>
  <si>
    <t>Ayansh Choudhary</t>
  </si>
  <si>
    <t>Moti Ram Ji Natwariya</t>
  </si>
  <si>
    <t>Anant Rebari</t>
  </si>
  <si>
    <t>Akshat Rebari</t>
  </si>
  <si>
    <t>Mool Chand Ji Jat</t>
  </si>
  <si>
    <t>Trasnport (Session-21-22)</t>
  </si>
  <si>
    <t>Bhanvar Ji Naga</t>
  </si>
  <si>
    <t>Paid after Mar 31</t>
  </si>
  <si>
    <t>Fee</t>
  </si>
  <si>
    <t>Tanishq</t>
  </si>
  <si>
    <t>Mobile No.</t>
  </si>
  <si>
    <t>Pick up point</t>
  </si>
  <si>
    <t>Per Month</t>
  </si>
  <si>
    <t>Need to check</t>
  </si>
  <si>
    <t>Amit Kumar Jakhar</t>
  </si>
  <si>
    <t xml:space="preserve">Sahil Khokhar </t>
  </si>
  <si>
    <t>Left (22-23)</t>
  </si>
  <si>
    <t>Harsvardhan Shekhawat</t>
  </si>
  <si>
    <t>Kavya Choudhary(RTE)</t>
  </si>
  <si>
    <t>Left (20-21)</t>
  </si>
  <si>
    <t>Sagar mal ji Jangu</t>
  </si>
  <si>
    <t>Aryan Choudhary</t>
  </si>
  <si>
    <t>Dinesh Jangu</t>
  </si>
  <si>
    <t>Fee Due 
Till 21-22</t>
  </si>
  <si>
    <t>Transport  Due 
Till 21-22</t>
  </si>
  <si>
    <t>Trasnport (Session-22-23)</t>
  </si>
  <si>
    <t xml:space="preserve">Fee (22-23)
Current Session </t>
  </si>
  <si>
    <t xml:space="preserve">Transport(22-23)
Current Session </t>
  </si>
  <si>
    <t>Sidharath (RTE)</t>
  </si>
  <si>
    <t>Sita Ram Ji (Dairy)</t>
  </si>
  <si>
    <t>Paid
Fee</t>
  </si>
  <si>
    <t>Paid
Transp</t>
  </si>
  <si>
    <t xml:space="preserve">Anil Dedvasi </t>
  </si>
  <si>
    <t>Ghanshyam Takhar</t>
  </si>
  <si>
    <t>Kailash Ji Khokar</t>
  </si>
  <si>
    <t>Vikas Jakhar</t>
  </si>
  <si>
    <t>chk transport</t>
  </si>
  <si>
    <t>Aryan Jakhar</t>
  </si>
  <si>
    <t>Left (Matrix)</t>
  </si>
  <si>
    <t>Shubham Verma</t>
  </si>
  <si>
    <t>Suresh Verma</t>
  </si>
  <si>
    <t>Tanishka Verma</t>
  </si>
  <si>
    <t>Hitisha Lehkra</t>
  </si>
  <si>
    <t>Asmi Lehkra</t>
  </si>
  <si>
    <t>Hardik Lehkra</t>
  </si>
  <si>
    <t>Navya Lehkra</t>
  </si>
  <si>
    <t>Prem Lehkra</t>
  </si>
  <si>
    <t>Hrishika Lehkra</t>
  </si>
  <si>
    <t>Jagdish ji verma (Sarpanch)</t>
  </si>
  <si>
    <t>Shagun Jindal</t>
  </si>
  <si>
    <t>Nitin Jindal</t>
  </si>
  <si>
    <t>Tejpal Jindal</t>
  </si>
  <si>
    <t>Anita Sepat (RTE)</t>
  </si>
  <si>
    <t>Priyanshu Sharma</t>
  </si>
  <si>
    <t>New Kid, Name</t>
  </si>
  <si>
    <t>Kamlesh Ji Sharma</t>
  </si>
  <si>
    <t>Pratiksha Choudhary</t>
  </si>
  <si>
    <t>Khushi Choudhary</t>
  </si>
  <si>
    <t>Dharam Pal</t>
  </si>
  <si>
    <t>Kanika Choudhary (RTE)</t>
  </si>
  <si>
    <t>Rehan Yadav(RTE)</t>
  </si>
  <si>
    <t>Mukesh Takhar</t>
  </si>
  <si>
    <t>Prakash Choudhary(RTE)</t>
  </si>
  <si>
    <t>Harsh Kumavat(RTE)</t>
  </si>
  <si>
    <t>Tammanna Sen</t>
  </si>
  <si>
    <t>Samar Choudhary</t>
  </si>
  <si>
    <t>Rakesh Dudi</t>
  </si>
  <si>
    <t>Twinkle kumawat</t>
  </si>
  <si>
    <t>Manoj Kumawat</t>
  </si>
  <si>
    <t>Vaibhav Kumawat</t>
  </si>
  <si>
    <t>Vinod Kumawat</t>
  </si>
  <si>
    <t>Mahender Kumawat</t>
  </si>
  <si>
    <t>Lakshita Kumawat</t>
  </si>
  <si>
    <t>Parent Name</t>
  </si>
  <si>
    <t>Mayank Khokhar</t>
  </si>
  <si>
    <t>Gaurav Khokhar</t>
  </si>
  <si>
    <t>Shivam Khokhar</t>
  </si>
  <si>
    <t>Sohan Lal Khokhar</t>
  </si>
  <si>
    <t>Bhagwan Sahay</t>
  </si>
  <si>
    <t>Lavish Choudhary</t>
  </si>
  <si>
    <t>Kana ram choudhary</t>
  </si>
  <si>
    <t>Anvi Sharma</t>
  </si>
  <si>
    <t>Suresh Kumar Sharma</t>
  </si>
  <si>
    <t>Rakshita Sharma</t>
  </si>
  <si>
    <t>Sanjeev Kumar Sharma</t>
  </si>
  <si>
    <t>Kiara Sharma</t>
  </si>
  <si>
    <t>Gaurishankar Sharma</t>
  </si>
  <si>
    <t>Arvi Sharma</t>
  </si>
  <si>
    <t xml:space="preserve">Manvee Sharma </t>
  </si>
  <si>
    <t>Kabir Sepat</t>
  </si>
  <si>
    <t>Salonee Choudhary</t>
  </si>
  <si>
    <t>Javika Choudhary</t>
  </si>
  <si>
    <t>Kapil Choudhary</t>
  </si>
  <si>
    <t>Nitisha Choudhary</t>
  </si>
  <si>
    <t>Rajesh Kumar Choudhry</t>
  </si>
  <si>
    <t>Suresh K Jangu</t>
  </si>
  <si>
    <t>Sharwam Ji Khokar</t>
  </si>
  <si>
    <t>Sanaya Choudhary</t>
  </si>
  <si>
    <t>Suresh Chandiwal</t>
  </si>
  <si>
    <t>Neeru Rebari</t>
  </si>
  <si>
    <t>Priyanshu Rebari</t>
  </si>
  <si>
    <t>Hemraj Rebari</t>
  </si>
  <si>
    <t>Ram Singh Rebari</t>
  </si>
  <si>
    <t>Priyanka Rebari</t>
  </si>
  <si>
    <t>left</t>
  </si>
  <si>
    <t>not available</t>
  </si>
  <si>
    <t>Bhavye Kumavat</t>
  </si>
  <si>
    <t>not avauilable</t>
  </si>
  <si>
    <t>Anshuman Kumawat</t>
  </si>
  <si>
    <t>need to take</t>
  </si>
  <si>
    <t>Ratan Ji Deshwal</t>
  </si>
  <si>
    <t>Vijay Choudhary</t>
  </si>
  <si>
    <t>Rajender Khokar</t>
  </si>
  <si>
    <t>Mahender Khokhar</t>
  </si>
  <si>
    <t>Mukesh Jodha @12500( 3 Oct 2022 To 31st March 2023).</t>
  </si>
  <si>
    <t>Problem class</t>
  </si>
  <si>
    <t>problem class payment</t>
  </si>
  <si>
    <t>final payment</t>
  </si>
  <si>
    <t>full payment</t>
  </si>
  <si>
    <t xml:space="preserve">Renu Marwal(EVS) - 11000/- (Session 22-23) </t>
  </si>
  <si>
    <t>11500 ?</t>
  </si>
  <si>
    <t>10600 ?</t>
  </si>
  <si>
    <t xml:space="preserve"> addded 10k for notice pd to 14034</t>
  </si>
  <si>
    <t>Sanju Kumari @left</t>
  </si>
  <si>
    <t>Amar Singh (English), 11000/-(Session 22-23)</t>
  </si>
  <si>
    <t>Joined</t>
  </si>
  <si>
    <t>Dolat Kasotia (Hindi), 12000/-(Session 22-23)</t>
  </si>
  <si>
    <t>joined</t>
  </si>
  <si>
    <t>Jasvinder SIngh (English), 16000/-(Session 22-23)</t>
  </si>
  <si>
    <t>Join</t>
  </si>
  <si>
    <t>Final payment</t>
  </si>
  <si>
    <t>Govind Kumawat (Sanskrit), 10000/-(Session 22-23)</t>
  </si>
  <si>
    <t>join</t>
  </si>
  <si>
    <t>reconfirm dates</t>
  </si>
  <si>
    <t>Sanju Kumary</t>
  </si>
  <si>
    <t>Amar Singh</t>
  </si>
  <si>
    <t>Dolat Kasotia</t>
  </si>
  <si>
    <t>Jasvinder Singh</t>
  </si>
  <si>
    <t>Govind Kumawat</t>
  </si>
  <si>
    <t>Matching with App ?</t>
  </si>
  <si>
    <t>Y</t>
  </si>
  <si>
    <t>N</t>
  </si>
  <si>
    <t xml:space="preserve">* need to double check </t>
  </si>
  <si>
    <t>Mukesh Jodha</t>
  </si>
  <si>
    <t>11 jan join</t>
  </si>
  <si>
    <t>Left on start of thesession</t>
  </si>
  <si>
    <t>Manshi (Incd Vishakha left)</t>
  </si>
  <si>
    <t>Krishan Sharama</t>
  </si>
  <si>
    <t xml:space="preserve">No dues this session </t>
  </si>
  <si>
    <t>Nanchu ji bugaliya</t>
  </si>
  <si>
    <t>trasport to be updated</t>
  </si>
  <si>
    <t xml:space="preserve">No dues </t>
  </si>
  <si>
    <t xml:space="preserve">App Status </t>
  </si>
  <si>
    <t xml:space="preserve">* to be recked , last time balance was 15k only </t>
  </si>
  <si>
    <t>No dues</t>
  </si>
  <si>
    <t>not joined , to be jined imn 23-24</t>
  </si>
  <si>
    <t>Updated on 05 Feb 2023</t>
  </si>
  <si>
    <t>Update Payment Details form DailyVouchers</t>
  </si>
  <si>
    <t>Select Month</t>
  </si>
  <si>
    <t>January</t>
  </si>
  <si>
    <t>December</t>
  </si>
  <si>
    <t>February</t>
  </si>
  <si>
    <t>August</t>
  </si>
  <si>
    <t>September</t>
  </si>
  <si>
    <t>October</t>
  </si>
  <si>
    <t>November</t>
  </si>
  <si>
    <t>Voucher</t>
  </si>
  <si>
    <t>Phone Pay Suman Pareek</t>
  </si>
  <si>
    <t>.</t>
  </si>
  <si>
    <t>Cash Ramavtar Sharma</t>
  </si>
  <si>
    <t>Cash Mukesh Nitharwal</t>
  </si>
  <si>
    <t>Bus booking Advance</t>
  </si>
  <si>
    <t>Bus booking fare</t>
  </si>
  <si>
    <t>Bill books 2 books</t>
  </si>
  <si>
    <t>Bus Puncture 4903</t>
  </si>
  <si>
    <t>Break oil bus 4903</t>
  </si>
  <si>
    <t>Tea Packet</t>
  </si>
  <si>
    <t>Petrol Bike Nodal Schl khejdawas</t>
  </si>
  <si>
    <t>Cash Seema Choudhary</t>
  </si>
  <si>
    <t>Cash Broom(Jhadu)</t>
  </si>
  <si>
    <t>%due</t>
  </si>
  <si>
    <t>Cash Anita Harijan</t>
  </si>
  <si>
    <t>Dressing NAME Bugaliya</t>
  </si>
  <si>
    <t>Print outs</t>
  </si>
  <si>
    <t>Cash Renu Marwal</t>
  </si>
  <si>
    <t xml:space="preserve">268 dummy salary added to bring balance 0 </t>
  </si>
  <si>
    <t>Voucher#</t>
  </si>
  <si>
    <t>chart</t>
  </si>
  <si>
    <t>Cash Lakshman Kumawat(Physics)</t>
  </si>
  <si>
    <t>Cash Mukesh Jodha</t>
  </si>
  <si>
    <t>Bus putta(2 set) and main patta</t>
  </si>
  <si>
    <t>Centre Bolt, Other bolt etc</t>
  </si>
  <si>
    <t>Cash Diesel Trans Nagar</t>
  </si>
  <si>
    <t>Tea Driver expense</t>
  </si>
  <si>
    <t>Cash bus patta 4903</t>
  </si>
  <si>
    <t>Cash bus patta 7407</t>
  </si>
  <si>
    <t xml:space="preserve">Cash Salary </t>
  </si>
  <si>
    <t>Milk Bill January</t>
  </si>
  <si>
    <t>Petrol Khejdawas govt school</t>
  </si>
  <si>
    <t>Ginger</t>
  </si>
  <si>
    <t>Bus 4903 end rod maintenance</t>
  </si>
  <si>
    <t>Bus 4903 bus patta, centre bolt, Jhula</t>
  </si>
  <si>
    <t>Bus Puncture 7407</t>
  </si>
  <si>
    <t>Chalk + disposal</t>
  </si>
  <si>
    <t>Cash Doulat Kansotiya</t>
  </si>
  <si>
    <t xml:space="preserve">Cash Mukesh Jodha </t>
  </si>
  <si>
    <t>Bus 4903 puncture</t>
  </si>
  <si>
    <t>School electricity bill</t>
  </si>
  <si>
    <t>Chai cheeni</t>
  </si>
  <si>
    <t>Daulat Kashotiya salary</t>
  </si>
  <si>
    <t>Cash Amar singh</t>
  </si>
  <si>
    <t>Cash salary mukesh Nitharwal</t>
  </si>
  <si>
    <t>Bus booking Mangla Ram Sepat</t>
  </si>
  <si>
    <t>Bus maintenance</t>
  </si>
  <si>
    <t>Electricity bill</t>
  </si>
  <si>
    <t>Staitiona &amp; Otheres</t>
  </si>
  <si>
    <t>NK Tyre - already entered</t>
  </si>
  <si>
    <t>Bus maintenance  - already entered</t>
  </si>
  <si>
    <t>Electricity bill  - already entered</t>
  </si>
  <si>
    <t>Staitiona &amp; Otheres  - already entered</t>
  </si>
  <si>
    <t>Petrol</t>
  </si>
  <si>
    <t>Toiletories</t>
  </si>
  <si>
    <t>Diesel cash</t>
  </si>
  <si>
    <t>Pumphlets</t>
  </si>
  <si>
    <t>Paper typing</t>
  </si>
  <si>
    <t>Haldighati school attachement charges</t>
  </si>
  <si>
    <t>Vinayak petrolPump</t>
  </si>
  <si>
    <t>Fee Refund</t>
  </si>
  <si>
    <t>Petrol cash</t>
  </si>
  <si>
    <t>Guest teacher salary</t>
  </si>
  <si>
    <t>15 Aug celebration</t>
  </si>
  <si>
    <t>Flex printouts</t>
  </si>
  <si>
    <t>Cash diesel/Patrol</t>
  </si>
  <si>
    <t>Diesel</t>
  </si>
  <si>
    <t xml:space="preserve">*Feb fee added manually </t>
  </si>
  <si>
    <t>Paid 15500 mentioned in other exp</t>
  </si>
  <si>
    <t>*Satar Van added to Salary exp</t>
  </si>
  <si>
    <t>Wastage sell</t>
  </si>
  <si>
    <t xml:space="preserve">Bus booking </t>
  </si>
  <si>
    <t>Bus booking</t>
  </si>
  <si>
    <t>Other Exp - TransMaint</t>
  </si>
  <si>
    <t>Painter</t>
  </si>
  <si>
    <t>Electrician &amp; equipments</t>
  </si>
  <si>
    <t>Othere maintenance</t>
  </si>
  <si>
    <t>Stationary</t>
  </si>
  <si>
    <t>Tea expense</t>
  </si>
  <si>
    <t>Extra Route Charge</t>
  </si>
  <si>
    <t>Suwamani bhooj</t>
  </si>
  <si>
    <t>Bus Maintenance</t>
  </si>
  <si>
    <t>Expense</t>
  </si>
  <si>
    <t>Month wise income summary-full</t>
  </si>
  <si>
    <t>* keeping RTE separate</t>
  </si>
  <si>
    <t>Opening balance</t>
  </si>
  <si>
    <t>Oct-22 to Jan-23 other exp data not added yet</t>
  </si>
  <si>
    <t xml:space="preserve">Total Income </t>
  </si>
  <si>
    <t>Total Expenses</t>
  </si>
  <si>
    <t>Due - Salary</t>
  </si>
  <si>
    <t>Due - Vinaya PP</t>
  </si>
  <si>
    <t xml:space="preserve">Data not added yet </t>
  </si>
  <si>
    <t>DPS Financial Summary 2022-23 as of 25 Feb 2023</t>
  </si>
  <si>
    <t>subHead</t>
  </si>
  <si>
    <t>Affiliation</t>
  </si>
  <si>
    <t>Advertising</t>
  </si>
  <si>
    <t>Bill</t>
  </si>
  <si>
    <t>Maintenance</t>
  </si>
  <si>
    <t>Daily run</t>
  </si>
  <si>
    <t>Cleaning</t>
  </si>
  <si>
    <t>Paper Typing</t>
  </si>
  <si>
    <t>Misc Salary</t>
  </si>
  <si>
    <t>Event Celebration</t>
  </si>
  <si>
    <t>Row Labels</t>
  </si>
  <si>
    <t>(blank)</t>
  </si>
  <si>
    <t>Grand Total</t>
  </si>
  <si>
    <t>Sum of Amount</t>
  </si>
  <si>
    <t>Ink Printer</t>
  </si>
  <si>
    <t>Bus Patta</t>
  </si>
  <si>
    <t>Phone pay Mukesh Jodha</t>
  </si>
  <si>
    <t>Cash Salary Ashok Kumawat</t>
  </si>
  <si>
    <t>Bus maintenance 0597(prahalad ji) welding , bolt, labour</t>
  </si>
  <si>
    <t>petrol</t>
  </si>
  <si>
    <t>Speed post RTE</t>
  </si>
  <si>
    <t>Cash Dolat Kansotiya</t>
  </si>
  <si>
    <t>Rim paper + Chalk</t>
  </si>
  <si>
    <t>Phonepay Mukesh Nitharwal</t>
  </si>
  <si>
    <t>Cash Prahalad Sepat</t>
  </si>
  <si>
    <t>Cash Poonam Gupta</t>
  </si>
  <si>
    <t>Phone pay Ashok kumar</t>
  </si>
  <si>
    <t>Phone pay Rekha meena</t>
  </si>
</sst>
</file>

<file path=xl/styles.xml><?xml version="1.0" encoding="utf-8"?>
<styleSheet xmlns="http://schemas.openxmlformats.org/spreadsheetml/2006/main">
  <numFmts count="2">
    <numFmt numFmtId="164" formatCode="mm/dd/yy;@"/>
    <numFmt numFmtId="165" formatCode="[$-409]mmm/yy;@"/>
  </numFmts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name val="Cambria"/>
      <family val="1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FF00FF"/>
      </left>
      <right/>
      <top style="double">
        <color rgb="FFFF00FF"/>
      </top>
      <bottom/>
      <diagonal/>
    </border>
    <border>
      <left/>
      <right/>
      <top style="double">
        <color rgb="FFFF00FF"/>
      </top>
      <bottom/>
      <diagonal/>
    </border>
    <border>
      <left/>
      <right style="double">
        <color rgb="FFFF00FF"/>
      </right>
      <top style="double">
        <color rgb="FFFF00FF"/>
      </top>
      <bottom/>
      <diagonal/>
    </border>
    <border>
      <left style="double">
        <color rgb="FFFF00FF"/>
      </left>
      <right/>
      <top style="double">
        <color rgb="FF00B050"/>
      </top>
      <bottom/>
      <diagonal/>
    </border>
    <border>
      <left/>
      <right/>
      <top style="double">
        <color rgb="FF00B050"/>
      </top>
      <bottom/>
      <diagonal/>
    </border>
    <border>
      <left/>
      <right style="double">
        <color rgb="FF00B050"/>
      </right>
      <top style="double">
        <color rgb="FF00B050"/>
      </top>
      <bottom/>
      <diagonal/>
    </border>
    <border>
      <left style="double">
        <color rgb="FFFF00FF"/>
      </left>
      <right/>
      <top/>
      <bottom style="double">
        <color rgb="FFFF00FF"/>
      </bottom>
      <diagonal/>
    </border>
    <border>
      <left/>
      <right/>
      <top/>
      <bottom style="double">
        <color rgb="FFFF00FF"/>
      </bottom>
      <diagonal/>
    </border>
    <border>
      <left/>
      <right style="double">
        <color rgb="FFFF00FF"/>
      </right>
      <top/>
      <bottom style="double">
        <color rgb="FFFF00FF"/>
      </bottom>
      <diagonal/>
    </border>
    <border>
      <left style="double">
        <color rgb="FFFF00FF"/>
      </left>
      <right/>
      <top/>
      <bottom style="double">
        <color rgb="FF00B050"/>
      </bottom>
      <diagonal/>
    </border>
    <border>
      <left/>
      <right/>
      <top/>
      <bottom style="double">
        <color rgb="FF00B050"/>
      </bottom>
      <diagonal/>
    </border>
    <border>
      <left/>
      <right style="double">
        <color rgb="FF00B050"/>
      </right>
      <top/>
      <bottom style="double">
        <color rgb="FF00B050"/>
      </bottom>
      <diagonal/>
    </border>
  </borders>
  <cellStyleXfs count="2">
    <xf numFmtId="0" fontId="0" fillId="0" borderId="0"/>
    <xf numFmtId="0" fontId="18" fillId="20" borderId="0" applyNumberFormat="0" applyBorder="0" applyAlignment="0" applyProtection="0"/>
  </cellStyleXfs>
  <cellXfs count="3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0" fillId="4" borderId="0" xfId="0" applyFill="1" applyBorder="1"/>
    <xf numFmtId="0" fontId="0" fillId="4" borderId="0" xfId="0" applyFill="1"/>
    <xf numFmtId="18" fontId="0" fillId="0" borderId="2" xfId="0" applyNumberFormat="1" applyBorder="1" applyAlignment="1">
      <alignment vertical="center"/>
    </xf>
    <xf numFmtId="0" fontId="1" fillId="2" borderId="1" xfId="0" applyFont="1" applyFill="1" applyBorder="1"/>
    <xf numFmtId="0" fontId="0" fillId="0" borderId="1" xfId="0" applyBorder="1"/>
    <xf numFmtId="2" fontId="0" fillId="5" borderId="1" xfId="0" applyNumberFormat="1" applyFill="1" applyBorder="1" applyAlignment="1">
      <alignment vertical="center"/>
    </xf>
    <xf numFmtId="0" fontId="0" fillId="5" borderId="1" xfId="0" applyFill="1" applyBorder="1"/>
    <xf numFmtId="14" fontId="0" fillId="0" borderId="1" xfId="0" applyNumberFormat="1" applyBorder="1"/>
    <xf numFmtId="0" fontId="1" fillId="0" borderId="1" xfId="0" applyFont="1" applyBorder="1"/>
    <xf numFmtId="0" fontId="0" fillId="0" borderId="3" xfId="0" applyFill="1" applyBorder="1"/>
    <xf numFmtId="0" fontId="0" fillId="4" borderId="1" xfId="0" applyFill="1" applyBorder="1"/>
    <xf numFmtId="14" fontId="0" fillId="4" borderId="1" xfId="0" applyNumberForma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left"/>
    </xf>
    <xf numFmtId="18" fontId="0" fillId="0" borderId="1" xfId="0" applyNumberFormat="1" applyBorder="1" applyAlignment="1">
      <alignment vertical="center"/>
    </xf>
    <xf numFmtId="0" fontId="3" fillId="0" borderId="0" xfId="0" applyFont="1"/>
    <xf numFmtId="0" fontId="0" fillId="0" borderId="1" xfId="0" applyFill="1" applyBorder="1"/>
    <xf numFmtId="0" fontId="3" fillId="0" borderId="1" xfId="0" applyFont="1" applyBorder="1"/>
    <xf numFmtId="0" fontId="1" fillId="5" borderId="1" xfId="0" applyFont="1" applyFill="1" applyBorder="1"/>
    <xf numFmtId="0" fontId="0" fillId="4" borderId="0" xfId="0" applyFill="1" applyBorder="1" applyAlignment="1">
      <alignment horizontal="left"/>
    </xf>
    <xf numFmtId="1" fontId="0" fillId="0" borderId="1" xfId="0" applyNumberFormat="1" applyBorder="1" applyAlignment="1">
      <alignment vertical="center"/>
    </xf>
    <xf numFmtId="1" fontId="0" fillId="0" borderId="0" xfId="0" applyNumberFormat="1" applyAlignment="1">
      <alignment vertical="center"/>
    </xf>
    <xf numFmtId="1" fontId="1" fillId="5" borderId="1" xfId="0" applyNumberFormat="1" applyFont="1" applyFill="1" applyBorder="1" applyAlignment="1">
      <alignment vertical="center"/>
    </xf>
    <xf numFmtId="1" fontId="0" fillId="4" borderId="1" xfId="0" applyNumberFormat="1" applyFill="1" applyBorder="1"/>
    <xf numFmtId="1" fontId="1" fillId="2" borderId="1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1" fontId="0" fillId="4" borderId="0" xfId="0" applyNumberFormat="1" applyFill="1"/>
    <xf numFmtId="0" fontId="0" fillId="0" borderId="1" xfId="0" applyBorder="1" applyAlignment="1">
      <alignment wrapText="1"/>
    </xf>
    <xf numFmtId="164" fontId="0" fillId="4" borderId="1" xfId="0" applyNumberFormat="1" applyFill="1" applyBorder="1" applyAlignment="1">
      <alignment horizontal="left"/>
    </xf>
    <xf numFmtId="164" fontId="0" fillId="4" borderId="0" xfId="0" applyNumberFormat="1" applyFill="1" applyBorder="1" applyAlignment="1">
      <alignment horizontal="left"/>
    </xf>
    <xf numFmtId="164" fontId="0" fillId="0" borderId="1" xfId="0" applyNumberFormat="1" applyBorder="1"/>
    <xf numFmtId="0" fontId="1" fillId="2" borderId="1" xfId="0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12" borderId="0" xfId="0" applyFill="1"/>
    <xf numFmtId="164" fontId="0" fillId="0" borderId="6" xfId="0" applyNumberFormat="1" applyBorder="1" applyAlignment="1">
      <alignment horizontal="left"/>
    </xf>
    <xf numFmtId="0" fontId="0" fillId="0" borderId="6" xfId="0" applyBorder="1"/>
    <xf numFmtId="0" fontId="0" fillId="12" borderId="1" xfId="0" applyFill="1" applyBorder="1"/>
    <xf numFmtId="0" fontId="1" fillId="0" borderId="1" xfId="0" applyFont="1" applyFill="1" applyBorder="1"/>
    <xf numFmtId="0" fontId="0" fillId="13" borderId="1" xfId="0" applyFill="1" applyBorder="1" applyAlignment="1">
      <alignment vertical="center"/>
    </xf>
    <xf numFmtId="0" fontId="0" fillId="13" borderId="6" xfId="0" applyFill="1" applyBorder="1" applyAlignment="1">
      <alignment vertical="center"/>
    </xf>
    <xf numFmtId="0" fontId="0" fillId="0" borderId="6" xfId="0" applyBorder="1" applyAlignment="1">
      <alignment vertical="center"/>
    </xf>
    <xf numFmtId="2" fontId="0" fillId="2" borderId="1" xfId="0" applyNumberForma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14" fontId="0" fillId="0" borderId="7" xfId="0" applyNumberFormat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0" borderId="6" xfId="0" applyBorder="1" applyAlignment="1">
      <alignment horizontal="left" vertical="center"/>
    </xf>
    <xf numFmtId="1" fontId="0" fillId="6" borderId="1" xfId="0" applyNumberForma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 wrapText="1"/>
    </xf>
    <xf numFmtId="1" fontId="6" fillId="5" borderId="1" xfId="0" applyNumberFormat="1" applyFont="1" applyFill="1" applyBorder="1" applyAlignment="1">
      <alignment wrapText="1"/>
    </xf>
    <xf numFmtId="164" fontId="1" fillId="2" borderId="1" xfId="0" applyNumberFormat="1" applyFont="1" applyFill="1" applyBorder="1" applyAlignment="1">
      <alignment horizontal="left" wrapText="1"/>
    </xf>
    <xf numFmtId="0" fontId="0" fillId="2" borderId="1" xfId="0" applyFill="1" applyBorder="1" applyAlignment="1">
      <alignment wrapText="1"/>
    </xf>
    <xf numFmtId="0" fontId="0" fillId="5" borderId="1" xfId="0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164" fontId="0" fillId="0" borderId="1" xfId="0" applyNumberFormat="1" applyBorder="1" applyAlignment="1">
      <alignment horizontal="left" wrapText="1"/>
    </xf>
    <xf numFmtId="164" fontId="1" fillId="0" borderId="1" xfId="0" applyNumberFormat="1" applyFont="1" applyBorder="1" applyAlignment="1">
      <alignment horizontal="right" wrapText="1"/>
    </xf>
    <xf numFmtId="1" fontId="1" fillId="5" borderId="1" xfId="0" applyNumberFormat="1" applyFont="1" applyFill="1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1" xfId="0" quotePrefix="1" applyBorder="1" applyAlignment="1">
      <alignment wrapText="1"/>
    </xf>
    <xf numFmtId="164" fontId="0" fillId="0" borderId="0" xfId="0" applyNumberFormat="1" applyAlignment="1">
      <alignment horizontal="left" wrapText="1"/>
    </xf>
    <xf numFmtId="0" fontId="0" fillId="14" borderId="1" xfId="0" applyFill="1" applyBorder="1" applyAlignment="1">
      <alignment wrapText="1"/>
    </xf>
    <xf numFmtId="0" fontId="0" fillId="2" borderId="7" xfId="0" applyFill="1" applyBorder="1" applyAlignment="1">
      <alignment wrapText="1"/>
    </xf>
    <xf numFmtId="0" fontId="0" fillId="14" borderId="7" xfId="0" applyFill="1" applyBorder="1" applyAlignment="1">
      <alignment wrapText="1"/>
    </xf>
    <xf numFmtId="164" fontId="0" fillId="0" borderId="0" xfId="0" applyNumberFormat="1" applyFill="1" applyBorder="1" applyAlignment="1">
      <alignment horizontal="left" wrapText="1"/>
    </xf>
    <xf numFmtId="0" fontId="0" fillId="0" borderId="0" xfId="0" applyFill="1" applyBorder="1" applyAlignment="1">
      <alignment wrapText="1"/>
    </xf>
    <xf numFmtId="164" fontId="1" fillId="2" borderId="7" xfId="0" applyNumberFormat="1" applyFont="1" applyFill="1" applyBorder="1" applyAlignment="1">
      <alignment horizontal="left"/>
    </xf>
    <xf numFmtId="0" fontId="1" fillId="2" borderId="7" xfId="0" applyFont="1" applyFill="1" applyBorder="1"/>
    <xf numFmtId="0" fontId="8" fillId="3" borderId="1" xfId="0" applyFont="1" applyFill="1" applyBorder="1" applyAlignment="1">
      <alignment vertical="center" wrapText="1"/>
    </xf>
    <xf numFmtId="0" fontId="8" fillId="2" borderId="1" xfId="0" applyFont="1" applyFill="1" applyBorder="1" applyAlignment="1">
      <alignment vertical="center" wrapText="1"/>
    </xf>
    <xf numFmtId="0" fontId="9" fillId="10" borderId="1" xfId="0" applyFont="1" applyFill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8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9" fillId="11" borderId="1" xfId="0" applyFont="1" applyFill="1" applyBorder="1" applyAlignment="1">
      <alignment vertical="center" wrapText="1"/>
    </xf>
    <xf numFmtId="0" fontId="9" fillId="9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1" fillId="3" borderId="1" xfId="0" applyFont="1" applyFill="1" applyBorder="1" applyAlignment="1">
      <alignment vertical="center" wrapText="1"/>
    </xf>
    <xf numFmtId="0" fontId="11" fillId="5" borderId="1" xfId="0" applyFont="1" applyFill="1" applyBorder="1" applyAlignment="1">
      <alignment vertical="center" wrapText="1"/>
    </xf>
    <xf numFmtId="16" fontId="9" fillId="0" borderId="0" xfId="0" applyNumberFormat="1" applyFont="1" applyAlignment="1">
      <alignment vertical="center" wrapText="1"/>
    </xf>
    <xf numFmtId="0" fontId="1" fillId="4" borderId="1" xfId="0" applyFont="1" applyFill="1" applyBorder="1"/>
    <xf numFmtId="0" fontId="1" fillId="4" borderId="4" xfId="0" applyFont="1" applyFill="1" applyBorder="1" applyAlignment="1"/>
    <xf numFmtId="164" fontId="1" fillId="4" borderId="1" xfId="0" applyNumberFormat="1" applyFont="1" applyFill="1" applyBorder="1" applyAlignment="1">
      <alignment horizontal="left"/>
    </xf>
    <xf numFmtId="0" fontId="1" fillId="4" borderId="1" xfId="0" applyFont="1" applyFill="1" applyBorder="1" applyAlignment="1"/>
    <xf numFmtId="0" fontId="1" fillId="4" borderId="9" xfId="0" applyFont="1" applyFill="1" applyBorder="1" applyAlignment="1"/>
    <xf numFmtId="0" fontId="1" fillId="4" borderId="4" xfId="0" applyFont="1" applyFill="1" applyBorder="1" applyAlignment="1">
      <alignment horizontal="left"/>
    </xf>
    <xf numFmtId="0" fontId="1" fillId="6" borderId="1" xfId="0" applyFont="1" applyFill="1" applyBorder="1"/>
    <xf numFmtId="0" fontId="0" fillId="6" borderId="1" xfId="0" applyFill="1" applyBorder="1"/>
    <xf numFmtId="0" fontId="4" fillId="6" borderId="1" xfId="0" applyFont="1" applyFill="1" applyBorder="1"/>
    <xf numFmtId="0" fontId="0" fillId="4" borderId="0" xfId="0" applyFill="1" applyAlignment="1">
      <alignment vertical="center"/>
    </xf>
    <xf numFmtId="14" fontId="0" fillId="4" borderId="1" xfId="0" applyNumberFormat="1" applyFill="1" applyBorder="1" applyAlignment="1">
      <alignment horizontal="left" vertical="center"/>
    </xf>
    <xf numFmtId="0" fontId="0" fillId="4" borderId="1" xfId="0" applyFill="1" applyBorder="1" applyAlignment="1">
      <alignment vertical="center"/>
    </xf>
    <xf numFmtId="0" fontId="0" fillId="4" borderId="0" xfId="0" applyFill="1" applyAlignment="1">
      <alignment horizontal="left" vertical="center"/>
    </xf>
    <xf numFmtId="1" fontId="1" fillId="6" borderId="1" xfId="0" applyNumberFormat="1" applyFont="1" applyFill="1" applyBorder="1" applyAlignment="1">
      <alignment vertical="center"/>
    </xf>
    <xf numFmtId="1" fontId="0" fillId="4" borderId="1" xfId="0" applyNumberForma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 wrapText="1"/>
    </xf>
    <xf numFmtId="0" fontId="13" fillId="5" borderId="1" xfId="0" applyFont="1" applyFill="1" applyBorder="1" applyAlignment="1">
      <alignment vertical="center" wrapText="1"/>
    </xf>
    <xf numFmtId="0" fontId="0" fillId="5" borderId="0" xfId="0" applyFill="1" applyAlignment="1">
      <alignment wrapText="1"/>
    </xf>
    <xf numFmtId="0" fontId="0" fillId="0" borderId="0" xfId="0" applyAlignment="1"/>
    <xf numFmtId="0" fontId="9" fillId="7" borderId="1" xfId="0" applyFont="1" applyFill="1" applyBorder="1" applyAlignment="1">
      <alignment vertical="center" wrapText="1"/>
    </xf>
    <xf numFmtId="0" fontId="0" fillId="2" borderId="2" xfId="0" applyFill="1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10" fillId="15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164" fontId="0" fillId="0" borderId="1" xfId="0" applyNumberFormat="1" applyFill="1" applyBorder="1" applyAlignment="1">
      <alignment horizontal="left" wrapText="1"/>
    </xf>
    <xf numFmtId="0" fontId="13" fillId="0" borderId="1" xfId="0" applyFont="1" applyBorder="1" applyAlignment="1">
      <alignment vertical="center" wrapText="1"/>
    </xf>
    <xf numFmtId="0" fontId="13" fillId="8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vertical="center" wrapText="1"/>
    </xf>
    <xf numFmtId="0" fontId="0" fillId="4" borderId="1" xfId="0" applyFont="1" applyFill="1" applyBorder="1"/>
    <xf numFmtId="1" fontId="1" fillId="4" borderId="1" xfId="0" applyNumberFormat="1" applyFont="1" applyFill="1" applyBorder="1"/>
    <xf numFmtId="1" fontId="0" fillId="4" borderId="1" xfId="0" applyNumberFormat="1" applyFont="1" applyFill="1" applyBorder="1"/>
    <xf numFmtId="0" fontId="1" fillId="17" borderId="1" xfId="0" applyFont="1" applyFill="1" applyBorder="1"/>
    <xf numFmtId="0" fontId="1" fillId="17" borderId="1" xfId="0" applyFont="1" applyFill="1" applyBorder="1" applyAlignment="1">
      <alignment horizontal="left" vertical="center"/>
    </xf>
    <xf numFmtId="0" fontId="0" fillId="17" borderId="1" xfId="0" applyFont="1" applyFill="1" applyBorder="1" applyAlignment="1">
      <alignment wrapText="1"/>
    </xf>
    <xf numFmtId="0" fontId="1" fillId="17" borderId="1" xfId="0" applyFont="1" applyFill="1" applyBorder="1" applyAlignment="1">
      <alignment horizontal="right"/>
    </xf>
    <xf numFmtId="0" fontId="0" fillId="17" borderId="1" xfId="0" applyFill="1" applyBorder="1"/>
    <xf numFmtId="0" fontId="9" fillId="17" borderId="0" xfId="0" applyFont="1" applyFill="1" applyAlignment="1">
      <alignment vertical="center" wrapText="1"/>
    </xf>
    <xf numFmtId="0" fontId="14" fillId="8" borderId="1" xfId="0" applyFont="1" applyFill="1" applyBorder="1" applyAlignment="1">
      <alignment vertical="center" wrapText="1"/>
    </xf>
    <xf numFmtId="1" fontId="1" fillId="4" borderId="0" xfId="0" applyNumberFormat="1" applyFont="1" applyFill="1" applyAlignment="1">
      <alignment horizontal="left" vertical="center"/>
    </xf>
    <xf numFmtId="0" fontId="0" fillId="4" borderId="0" xfId="0" quotePrefix="1" applyFill="1" applyAlignment="1">
      <alignment horizontal="left" vertical="center"/>
    </xf>
    <xf numFmtId="0" fontId="0" fillId="0" borderId="1" xfId="0" quotePrefix="1" applyBorder="1"/>
    <xf numFmtId="1" fontId="0" fillId="0" borderId="0" xfId="0" applyNumberFormat="1"/>
    <xf numFmtId="1" fontId="0" fillId="0" borderId="1" xfId="0" applyNumberFormat="1" applyBorder="1"/>
    <xf numFmtId="1" fontId="0" fillId="5" borderId="1" xfId="0" applyNumberFormat="1" applyFill="1" applyBorder="1"/>
    <xf numFmtId="9" fontId="0" fillId="0" borderId="1" xfId="0" applyNumberFormat="1" applyBorder="1" applyAlignment="1">
      <alignment vertical="center"/>
    </xf>
    <xf numFmtId="0" fontId="0" fillId="0" borderId="1" xfId="0" quotePrefix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3" fillId="4" borderId="1" xfId="0" applyFont="1" applyFill="1" applyBorder="1"/>
    <xf numFmtId="17" fontId="0" fillId="0" borderId="1" xfId="0" applyNumberFormat="1" applyBorder="1"/>
    <xf numFmtId="17" fontId="0" fillId="4" borderId="1" xfId="0" applyNumberFormat="1" applyFill="1" applyBorder="1"/>
    <xf numFmtId="0" fontId="15" fillId="17" borderId="1" xfId="0" applyFont="1" applyFill="1" applyBorder="1"/>
    <xf numFmtId="0" fontId="0" fillId="5" borderId="1" xfId="0" applyFont="1" applyFill="1" applyBorder="1"/>
    <xf numFmtId="0" fontId="4" fillId="5" borderId="1" xfId="0" applyFont="1" applyFill="1" applyBorder="1"/>
    <xf numFmtId="0" fontId="1" fillId="18" borderId="1" xfId="0" applyFont="1" applyFill="1" applyBorder="1"/>
    <xf numFmtId="0" fontId="0" fillId="3" borderId="1" xfId="0" applyFill="1" applyBorder="1"/>
    <xf numFmtId="0" fontId="3" fillId="3" borderId="1" xfId="0" applyFont="1" applyFill="1" applyBorder="1"/>
    <xf numFmtId="0" fontId="16" fillId="0" borderId="1" xfId="0" applyFont="1" applyBorder="1"/>
    <xf numFmtId="18" fontId="0" fillId="0" borderId="2" xfId="0" quotePrefix="1" applyNumberFormat="1" applyBorder="1" applyAlignment="1">
      <alignment vertical="center"/>
    </xf>
    <xf numFmtId="0" fontId="0" fillId="0" borderId="1" xfId="0" applyFont="1" applyBorder="1"/>
    <xf numFmtId="0" fontId="0" fillId="10" borderId="1" xfId="0" applyFill="1" applyBorder="1"/>
    <xf numFmtId="0" fontId="1" fillId="3" borderId="1" xfId="0" applyFont="1" applyFill="1" applyBorder="1"/>
    <xf numFmtId="165" fontId="1" fillId="2" borderId="1" xfId="0" applyNumberFormat="1" applyFont="1" applyFill="1" applyBorder="1"/>
    <xf numFmtId="165" fontId="0" fillId="0" borderId="1" xfId="0" applyNumberFormat="1" applyBorder="1"/>
    <xf numFmtId="165" fontId="0" fillId="0" borderId="0" xfId="0" applyNumberFormat="1"/>
    <xf numFmtId="0" fontId="1" fillId="18" borderId="3" xfId="0" applyFont="1" applyFill="1" applyBorder="1"/>
    <xf numFmtId="0" fontId="0" fillId="3" borderId="3" xfId="0" applyFill="1" applyBorder="1"/>
    <xf numFmtId="0" fontId="3" fillId="6" borderId="1" xfId="0" applyFont="1" applyFill="1" applyBorder="1"/>
    <xf numFmtId="0" fontId="0" fillId="0" borderId="0" xfId="0" applyFill="1" applyBorder="1"/>
    <xf numFmtId="0" fontId="16" fillId="6" borderId="1" xfId="0" applyFont="1" applyFill="1" applyBorder="1"/>
    <xf numFmtId="0" fontId="17" fillId="6" borderId="1" xfId="0" applyFont="1" applyFill="1" applyBorder="1"/>
    <xf numFmtId="0" fontId="0" fillId="19" borderId="1" xfId="0" applyFill="1" applyBorder="1"/>
    <xf numFmtId="0" fontId="0" fillId="9" borderId="1" xfId="0" applyFill="1" applyBorder="1"/>
    <xf numFmtId="0" fontId="0" fillId="9" borderId="0" xfId="0" applyFill="1"/>
    <xf numFmtId="0" fontId="8" fillId="16" borderId="1" xfId="0" applyFont="1" applyFill="1" applyBorder="1" applyAlignment="1">
      <alignment horizontal="center" vertical="center" wrapText="1"/>
    </xf>
    <xf numFmtId="0" fontId="8" fillId="18" borderId="1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15" fillId="6" borderId="1" xfId="0" applyFont="1" applyFill="1" applyBorder="1" applyAlignment="1">
      <alignment vertical="center" wrapText="1"/>
    </xf>
    <xf numFmtId="0" fontId="17" fillId="6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6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0" fillId="4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14" fontId="0" fillId="4" borderId="0" xfId="0" applyNumberFormat="1" applyFill="1" applyAlignment="1">
      <alignment horizontal="left"/>
    </xf>
    <xf numFmtId="0" fontId="18" fillId="20" borderId="0" xfId="1"/>
    <xf numFmtId="0" fontId="0" fillId="5" borderId="1" xfId="0" applyFill="1" applyBorder="1" applyAlignment="1">
      <alignment vertical="center"/>
    </xf>
    <xf numFmtId="14" fontId="0" fillId="21" borderId="1" xfId="0" applyNumberFormat="1" applyFill="1" applyBorder="1" applyAlignment="1">
      <alignment horizontal="left" vertical="center"/>
    </xf>
    <xf numFmtId="0" fontId="0" fillId="21" borderId="1" xfId="0" applyFill="1" applyBorder="1"/>
    <xf numFmtId="0" fontId="3" fillId="3" borderId="1" xfId="0" applyFont="1" applyFill="1" applyBorder="1" applyAlignment="1">
      <alignment vertical="center" wrapText="1"/>
    </xf>
    <xf numFmtId="0" fontId="0" fillId="7" borderId="0" xfId="0" applyFill="1" applyAlignment="1">
      <alignment vertical="center" wrapText="1"/>
    </xf>
    <xf numFmtId="0" fontId="21" fillId="0" borderId="13" xfId="0" applyFont="1" applyBorder="1" applyAlignment="1"/>
    <xf numFmtId="0" fontId="21" fillId="0" borderId="14" xfId="0" applyFont="1" applyBorder="1" applyAlignment="1"/>
    <xf numFmtId="0" fontId="21" fillId="0" borderId="15" xfId="0" applyFont="1" applyBorder="1" applyAlignment="1"/>
    <xf numFmtId="0" fontId="21" fillId="0" borderId="0" xfId="0" applyFont="1"/>
    <xf numFmtId="0" fontId="21" fillId="3" borderId="1" xfId="0" applyFont="1" applyFill="1" applyBorder="1" applyAlignment="1">
      <alignment horizontal="center" vertical="center"/>
    </xf>
    <xf numFmtId="0" fontId="21" fillId="0" borderId="19" xfId="0" applyFont="1" applyBorder="1" applyAlignment="1"/>
    <xf numFmtId="0" fontId="21" fillId="0" borderId="20" xfId="0" applyFont="1" applyBorder="1" applyAlignment="1"/>
    <xf numFmtId="0" fontId="21" fillId="0" borderId="21" xfId="0" applyFont="1" applyBorder="1" applyAlignment="1"/>
    <xf numFmtId="0" fontId="21" fillId="0" borderId="1" xfId="0" applyFont="1" applyBorder="1"/>
    <xf numFmtId="0" fontId="1" fillId="3" borderId="2" xfId="0" applyFont="1" applyFill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14" fontId="22" fillId="0" borderId="2" xfId="0" applyNumberFormat="1" applyFont="1" applyBorder="1"/>
    <xf numFmtId="0" fontId="22" fillId="0" borderId="1" xfId="0" applyFont="1" applyBorder="1"/>
    <xf numFmtId="0" fontId="22" fillId="0" borderId="1" xfId="0" applyFont="1" applyBorder="1" applyAlignment="1">
      <alignment horizontal="left"/>
    </xf>
    <xf numFmtId="14" fontId="23" fillId="0" borderId="2" xfId="0" applyNumberFormat="1" applyFont="1" applyBorder="1"/>
    <xf numFmtId="0" fontId="23" fillId="0" borderId="1" xfId="0" applyFont="1" applyBorder="1"/>
    <xf numFmtId="0" fontId="1" fillId="2" borderId="1" xfId="0" applyFont="1" applyFill="1" applyBorder="1" applyAlignment="1">
      <alignment horizontal="left" vertical="center"/>
    </xf>
    <xf numFmtId="0" fontId="23" fillId="0" borderId="1" xfId="0" applyFont="1" applyBorder="1" applyAlignment="1">
      <alignment horizontal="center"/>
    </xf>
    <xf numFmtId="0" fontId="24" fillId="3" borderId="9" xfId="0" applyFont="1" applyFill="1" applyBorder="1" applyAlignment="1">
      <alignment vertical="center"/>
    </xf>
    <xf numFmtId="164" fontId="5" fillId="6" borderId="2" xfId="0" applyNumberFormat="1" applyFont="1" applyFill="1" applyBorder="1" applyAlignment="1"/>
    <xf numFmtId="164" fontId="5" fillId="6" borderId="9" xfId="0" applyNumberFormat="1" applyFont="1" applyFill="1" applyBorder="1" applyAlignment="1"/>
    <xf numFmtId="164" fontId="5" fillId="6" borderId="4" xfId="0" applyNumberFormat="1" applyFont="1" applyFill="1" applyBorder="1" applyAlignment="1"/>
    <xf numFmtId="164" fontId="2" fillId="2" borderId="2" xfId="0" applyNumberFormat="1" applyFont="1" applyFill="1" applyBorder="1" applyAlignment="1"/>
    <xf numFmtId="164" fontId="2" fillId="2" borderId="9" xfId="0" applyNumberFormat="1" applyFont="1" applyFill="1" applyBorder="1" applyAlignment="1"/>
    <xf numFmtId="164" fontId="2" fillId="2" borderId="4" xfId="0" applyNumberFormat="1" applyFont="1" applyFill="1" applyBorder="1" applyAlignment="1"/>
    <xf numFmtId="0" fontId="1" fillId="6" borderId="2" xfId="0" applyFont="1" applyFill="1" applyBorder="1" applyAlignment="1"/>
    <xf numFmtId="0" fontId="1" fillId="6" borderId="9" xfId="0" applyFont="1" applyFill="1" applyBorder="1" applyAlignment="1"/>
    <xf numFmtId="0" fontId="1" fillId="6" borderId="4" xfId="0" applyFont="1" applyFill="1" applyBorder="1" applyAlignment="1"/>
    <xf numFmtId="164" fontId="1" fillId="2" borderId="2" xfId="0" applyNumberFormat="1" applyFont="1" applyFill="1" applyBorder="1" applyAlignment="1"/>
    <xf numFmtId="164" fontId="1" fillId="2" borderId="9" xfId="0" applyNumberFormat="1" applyFont="1" applyFill="1" applyBorder="1" applyAlignment="1"/>
    <xf numFmtId="164" fontId="1" fillId="2" borderId="4" xfId="0" applyNumberFormat="1" applyFont="1" applyFill="1" applyBorder="1" applyAlignment="1"/>
    <xf numFmtId="0" fontId="22" fillId="0" borderId="1" xfId="0" applyFont="1" applyBorder="1" applyAlignment="1">
      <alignment horizontal="center"/>
    </xf>
    <xf numFmtId="0" fontId="1" fillId="3" borderId="8" xfId="0" applyFont="1" applyFill="1" applyBorder="1" applyAlignment="1">
      <alignment vertical="center"/>
    </xf>
    <xf numFmtId="0" fontId="1" fillId="3" borderId="2" xfId="0" quotePrefix="1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1" fontId="0" fillId="22" borderId="1" xfId="0" applyNumberFormat="1" applyFill="1" applyBorder="1"/>
    <xf numFmtId="1" fontId="0" fillId="15" borderId="1" xfId="0" applyNumberFormat="1" applyFill="1" applyBorder="1"/>
    <xf numFmtId="1" fontId="0" fillId="23" borderId="1" xfId="0" applyNumberFormat="1" applyFill="1" applyBorder="1"/>
    <xf numFmtId="0" fontId="0" fillId="24" borderId="0" xfId="0" applyFill="1"/>
    <xf numFmtId="0" fontId="0" fillId="24" borderId="0" xfId="0" applyFill="1" applyAlignment="1"/>
    <xf numFmtId="0" fontId="0" fillId="24" borderId="0" xfId="0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14" fontId="21" fillId="0" borderId="2" xfId="0" applyNumberFormat="1" applyFont="1" applyBorder="1"/>
    <xf numFmtId="0" fontId="21" fillId="0" borderId="1" xfId="0" applyFont="1" applyBorder="1" applyAlignment="1">
      <alignment horizontal="center"/>
    </xf>
    <xf numFmtId="16" fontId="0" fillId="0" borderId="0" xfId="0" applyNumberFormat="1"/>
    <xf numFmtId="14" fontId="22" fillId="0" borderId="1" xfId="0" applyNumberFormat="1" applyFont="1" applyBorder="1"/>
    <xf numFmtId="14" fontId="23" fillId="0" borderId="1" xfId="0" applyNumberFormat="1" applyFont="1" applyBorder="1"/>
    <xf numFmtId="0" fontId="17" fillId="0" borderId="0" xfId="0" applyFont="1"/>
    <xf numFmtId="14" fontId="17" fillId="0" borderId="1" xfId="0" applyNumberFormat="1" applyFont="1" applyBorder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0" fillId="2" borderId="1" xfId="0" applyFill="1" applyBorder="1"/>
    <xf numFmtId="0" fontId="0" fillId="17" borderId="1" xfId="0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10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12" fillId="16" borderId="1" xfId="0" applyFont="1" applyFill="1" applyBorder="1" applyAlignment="1">
      <alignment horizontal="center" wrapText="1"/>
    </xf>
    <xf numFmtId="0" fontId="7" fillId="16" borderId="2" xfId="0" applyFont="1" applyFill="1" applyBorder="1" applyAlignment="1"/>
    <xf numFmtId="0" fontId="7" fillId="16" borderId="9" xfId="0" applyFont="1" applyFill="1" applyBorder="1" applyAlignment="1"/>
    <xf numFmtId="0" fontId="7" fillId="16" borderId="4" xfId="0" applyFont="1" applyFill="1" applyBorder="1" applyAlignment="1"/>
    <xf numFmtId="0" fontId="1" fillId="3" borderId="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9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5" fillId="6" borderId="1" xfId="0" applyNumberFormat="1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 vertical="center" wrapText="1"/>
    </xf>
    <xf numFmtId="0" fontId="1" fillId="18" borderId="2" xfId="0" applyFont="1" applyFill="1" applyBorder="1" applyAlignment="1">
      <alignment horizontal="center" vertical="center" wrapText="1"/>
    </xf>
    <xf numFmtId="0" fontId="1" fillId="18" borderId="9" xfId="0" applyFont="1" applyFill="1" applyBorder="1" applyAlignment="1">
      <alignment horizontal="center" vertical="center" wrapText="1"/>
    </xf>
    <xf numFmtId="0" fontId="1" fillId="18" borderId="4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8" borderId="9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wrapText="1"/>
    </xf>
    <xf numFmtId="164" fontId="7" fillId="2" borderId="1" xfId="0" applyNumberFormat="1" applyFont="1" applyFill="1" applyBorder="1" applyAlignment="1">
      <alignment horizontal="center" vertical="center" wrapText="1"/>
    </xf>
    <xf numFmtId="164" fontId="1" fillId="2" borderId="2" xfId="0" applyNumberFormat="1" applyFont="1" applyFill="1" applyBorder="1" applyAlignment="1">
      <alignment horizontal="center" vertical="center" wrapText="1"/>
    </xf>
    <xf numFmtId="164" fontId="1" fillId="2" borderId="9" xfId="0" applyNumberFormat="1" applyFont="1" applyFill="1" applyBorder="1" applyAlignment="1">
      <alignment horizontal="center" vertical="center" wrapText="1"/>
    </xf>
    <xf numFmtId="164" fontId="1" fillId="2" borderId="4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right" vertical="center"/>
    </xf>
    <xf numFmtId="0" fontId="1" fillId="0" borderId="4" xfId="0" applyFont="1" applyBorder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14" fontId="21" fillId="0" borderId="1" xfId="0" applyNumberFormat="1" applyFont="1" applyBorder="1"/>
    <xf numFmtId="16" fontId="21" fillId="0" borderId="1" xfId="0" applyNumberFormat="1" applyFont="1" applyBorder="1"/>
    <xf numFmtId="0" fontId="20" fillId="0" borderId="1" xfId="0" applyFont="1" applyBorder="1"/>
    <xf numFmtId="1" fontId="0" fillId="19" borderId="1" xfId="0" applyNumberFormat="1" applyFill="1" applyBorder="1"/>
    <xf numFmtId="1" fontId="0" fillId="25" borderId="1" xfId="0" applyNumberFormat="1" applyFill="1" applyBorder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pivotSource>
    <c:name>[DPS 2022-23_Sid_from06FEB23.xlsm]OthExp!PivotTable4</c:name>
    <c:fmtId val="0"/>
  </c:pivotSource>
  <c:chart>
    <c:title>
      <c:layout/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OthExp!$K$5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OthExp!$J$6:$J$19</c:f>
              <c:strCache>
                <c:ptCount val="13"/>
                <c:pt idx="0">
                  <c:v>Advertising</c:v>
                </c:pt>
                <c:pt idx="1">
                  <c:v>Affiliation</c:v>
                </c:pt>
                <c:pt idx="2">
                  <c:v>Bill</c:v>
                </c:pt>
                <c:pt idx="3">
                  <c:v>Cleaning</c:v>
                </c:pt>
                <c:pt idx="4">
                  <c:v>Daily run</c:v>
                </c:pt>
                <c:pt idx="5">
                  <c:v>Diesel</c:v>
                </c:pt>
                <c:pt idx="6">
                  <c:v>Event Celebration</c:v>
                </c:pt>
                <c:pt idx="7">
                  <c:v>Fee Refund</c:v>
                </c:pt>
                <c:pt idx="8">
                  <c:v>Maintenance</c:v>
                </c:pt>
                <c:pt idx="9">
                  <c:v>Misc Salary</c:v>
                </c:pt>
                <c:pt idx="10">
                  <c:v>Paper Typing</c:v>
                </c:pt>
                <c:pt idx="11">
                  <c:v>Stationary</c:v>
                </c:pt>
                <c:pt idx="12">
                  <c:v>(blank)</c:v>
                </c:pt>
              </c:strCache>
            </c:strRef>
          </c:cat>
          <c:val>
            <c:numRef>
              <c:f>OthExp!$K$6:$K$19</c:f>
              <c:numCache>
                <c:formatCode>General</c:formatCode>
                <c:ptCount val="13"/>
                <c:pt idx="0">
                  <c:v>15700</c:v>
                </c:pt>
                <c:pt idx="1">
                  <c:v>54600</c:v>
                </c:pt>
                <c:pt idx="2">
                  <c:v>27555</c:v>
                </c:pt>
                <c:pt idx="3">
                  <c:v>4530</c:v>
                </c:pt>
                <c:pt idx="4">
                  <c:v>5490</c:v>
                </c:pt>
                <c:pt idx="5">
                  <c:v>21630</c:v>
                </c:pt>
                <c:pt idx="6">
                  <c:v>14550</c:v>
                </c:pt>
                <c:pt idx="7">
                  <c:v>18000</c:v>
                </c:pt>
                <c:pt idx="8">
                  <c:v>2624</c:v>
                </c:pt>
                <c:pt idx="9">
                  <c:v>5000</c:v>
                </c:pt>
                <c:pt idx="10">
                  <c:v>2000</c:v>
                </c:pt>
                <c:pt idx="11">
                  <c:v>11445</c:v>
                </c:pt>
                <c:pt idx="12">
                  <c:v>11637</c:v>
                </c:pt>
              </c:numCache>
            </c:numRef>
          </c:val>
        </c:ser>
        <c:axId val="120205312"/>
        <c:axId val="120206848"/>
      </c:barChart>
      <c:catAx>
        <c:axId val="120205312"/>
        <c:scaling>
          <c:orientation val="minMax"/>
        </c:scaling>
        <c:axPos val="b"/>
        <c:tickLblPos val="nextTo"/>
        <c:crossAx val="120206848"/>
        <c:crosses val="autoZero"/>
        <c:auto val="1"/>
        <c:lblAlgn val="ctr"/>
        <c:lblOffset val="100"/>
      </c:catAx>
      <c:valAx>
        <c:axId val="120206848"/>
        <c:scaling>
          <c:orientation val="minMax"/>
        </c:scaling>
        <c:axPos val="l"/>
        <c:majorGridlines/>
        <c:numFmt formatCode="General" sourceLinked="1"/>
        <c:tickLblPos val="nextTo"/>
        <c:crossAx val="120205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Transport maintenance Expense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TranMaint!$U$7</c:f>
              <c:strCache>
                <c:ptCount val="1"/>
                <c:pt idx="0">
                  <c:v>Expense</c:v>
                </c:pt>
              </c:strCache>
            </c:strRef>
          </c:tx>
          <c:cat>
            <c:numRef>
              <c:f>TranMaint!$T$8:$T$19</c:f>
              <c:numCache>
                <c:formatCode>mmm\-yy</c:formatCode>
                <c:ptCount val="12"/>
                <c:pt idx="0">
                  <c:v>44652</c:v>
                </c:pt>
                <c:pt idx="1">
                  <c:v>44682</c:v>
                </c:pt>
                <c:pt idx="2">
                  <c:v>44713</c:v>
                </c:pt>
                <c:pt idx="3">
                  <c:v>44743</c:v>
                </c:pt>
                <c:pt idx="4">
                  <c:v>44774</c:v>
                </c:pt>
                <c:pt idx="5">
                  <c:v>44805</c:v>
                </c:pt>
                <c:pt idx="6">
                  <c:v>44835</c:v>
                </c:pt>
                <c:pt idx="7">
                  <c:v>44866</c:v>
                </c:pt>
                <c:pt idx="8">
                  <c:v>44896</c:v>
                </c:pt>
                <c:pt idx="9">
                  <c:v>44927</c:v>
                </c:pt>
                <c:pt idx="10">
                  <c:v>44958</c:v>
                </c:pt>
                <c:pt idx="11">
                  <c:v>44986</c:v>
                </c:pt>
              </c:numCache>
            </c:numRef>
          </c:cat>
          <c:val>
            <c:numRef>
              <c:f>TranMaint!$U$8:$U$19</c:f>
              <c:numCache>
                <c:formatCode>General</c:formatCode>
                <c:ptCount val="12"/>
                <c:pt idx="0">
                  <c:v>2900</c:v>
                </c:pt>
                <c:pt idx="4">
                  <c:v>7150</c:v>
                </c:pt>
                <c:pt idx="5">
                  <c:v>14900</c:v>
                </c:pt>
                <c:pt idx="10">
                  <c:v>20120</c:v>
                </c:pt>
              </c:numCache>
            </c:numRef>
          </c:val>
        </c:ser>
        <c:axId val="125392384"/>
        <c:axId val="125393920"/>
      </c:barChart>
      <c:dateAx>
        <c:axId val="125392384"/>
        <c:scaling>
          <c:orientation val="minMax"/>
        </c:scaling>
        <c:axPos val="b"/>
        <c:numFmt formatCode="mmm\-yy" sourceLinked="1"/>
        <c:tickLblPos val="nextTo"/>
        <c:crossAx val="125393920"/>
        <c:crosses val="autoZero"/>
        <c:auto val="1"/>
        <c:lblOffset val="100"/>
      </c:dateAx>
      <c:valAx>
        <c:axId val="125393920"/>
        <c:scaling>
          <c:orientation val="minMax"/>
        </c:scaling>
        <c:axPos val="l"/>
        <c:majorGridlines/>
        <c:numFmt formatCode="General" sourceLinked="1"/>
        <c:tickLblPos val="nextTo"/>
        <c:crossAx val="125392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381000</xdr:colOff>
      <xdr:row>4</xdr:row>
      <xdr:rowOff>84667</xdr:rowOff>
    </xdr:from>
    <xdr:to>
      <xdr:col>20</xdr:col>
      <xdr:colOff>328084</xdr:colOff>
      <xdr:row>18</xdr:row>
      <xdr:rowOff>158750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452437</xdr:colOff>
      <xdr:row>21</xdr:row>
      <xdr:rowOff>71438</xdr:rowOff>
    </xdr:from>
    <xdr:to>
      <xdr:col>24</xdr:col>
      <xdr:colOff>142874</xdr:colOff>
      <xdr:row>36</xdr:row>
      <xdr:rowOff>59531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ccounts1_2019-202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MonthlyStmts"/>
      <sheetName val="Payments"/>
      <sheetName val="StaticDetails"/>
      <sheetName val="Holidays"/>
      <sheetName val="RSKhokhar"/>
      <sheetName val="SimaChoudhary"/>
      <sheetName val="SeetaChoudhary"/>
      <sheetName val="MahenKhokhar"/>
      <sheetName val="SayarG"/>
      <sheetName val="SumanP"/>
      <sheetName val="RahulMe"/>
      <sheetName val="SanjuK"/>
      <sheetName val="MadhuMe"/>
      <sheetName val="RGBajya"/>
      <sheetName val="ChhotiDV"/>
      <sheetName val="AnitaJa"/>
      <sheetName val="MukeshJodha"/>
      <sheetName val="AmarSCho"/>
      <sheetName val="RSDIJeep"/>
      <sheetName val="MukeshBug"/>
      <sheetName val="MohanLNith"/>
      <sheetName val="PrahladSep"/>
      <sheetName val="AnitaHari"/>
      <sheetName val="SujaRamJ"/>
      <sheetName val="Diesel"/>
      <sheetName val="OtherMain"/>
      <sheetName val="Sheet2"/>
      <sheetName val="Accounts1_2019-2020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984.705501504628" createdVersion="3" refreshedVersion="3" minRefreshableVersion="3" recordCount="147">
  <cacheSource type="worksheet">
    <worksheetSource ref="B3:D150" sheet="OthExp"/>
  </cacheSource>
  <cacheFields count="3">
    <cacheField name="Amount" numFmtId="0">
      <sharedItems containsString="0" containsBlank="1" containsNumber="1" containsInteger="1" minValue="0" maxValue="34000"/>
    </cacheField>
    <cacheField name="Reason" numFmtId="0">
      <sharedItems containsBlank="1"/>
    </cacheField>
    <cacheField name="subHead" numFmtId="0">
      <sharedItems containsBlank="1" containsMixedTypes="1" containsNumber="1" containsInteger="1" minValue="44964" maxValue="44964" count="14">
        <m/>
        <n v="44964"/>
        <s v="Daily run"/>
        <s v="Cleaning"/>
        <s v="Bill"/>
        <s v="Stationary"/>
        <s v="Diesel"/>
        <s v="Advertising"/>
        <s v="Paper Typing"/>
        <s v="Affiliation"/>
        <s v="Fee Refund"/>
        <s v="Misc Salary"/>
        <s v="Event Celebration"/>
        <s v="Maintenance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7">
  <r>
    <n v="1455"/>
    <s v="Staitiona &amp; Otheres"/>
    <x v="0"/>
  </r>
  <r>
    <n v="100"/>
    <m/>
    <x v="0"/>
  </r>
  <r>
    <n v="50"/>
    <m/>
    <x v="0"/>
  </r>
  <r>
    <n v="1000"/>
    <m/>
    <x v="0"/>
  </r>
  <r>
    <n v="1700"/>
    <m/>
    <x v="0"/>
  </r>
  <r>
    <n v="250"/>
    <m/>
    <x v="0"/>
  </r>
  <r>
    <n v="400"/>
    <m/>
    <x v="0"/>
  </r>
  <r>
    <n v="200"/>
    <m/>
    <x v="0"/>
  </r>
  <r>
    <n v="275"/>
    <m/>
    <x v="0"/>
  </r>
  <r>
    <n v="150"/>
    <m/>
    <x v="0"/>
  </r>
  <r>
    <n v="380"/>
    <m/>
    <x v="0"/>
  </r>
  <r>
    <n v="500"/>
    <m/>
    <x v="0"/>
  </r>
  <r>
    <n v="157"/>
    <m/>
    <x v="0"/>
  </r>
  <r>
    <n v="50"/>
    <m/>
    <x v="0"/>
  </r>
  <r>
    <n v="50"/>
    <m/>
    <x v="0"/>
  </r>
  <r>
    <n v="120"/>
    <m/>
    <x v="0"/>
  </r>
  <r>
    <n v="100"/>
    <m/>
    <x v="0"/>
  </r>
  <r>
    <n v="1000"/>
    <m/>
    <x v="0"/>
  </r>
  <r>
    <n v="2500"/>
    <m/>
    <x v="0"/>
  </r>
  <r>
    <n v="100"/>
    <m/>
    <x v="0"/>
  </r>
  <r>
    <n v="1000"/>
    <m/>
    <x v="0"/>
  </r>
  <r>
    <n v="100"/>
    <m/>
    <x v="0"/>
  </r>
  <r>
    <n v="700"/>
    <s v="Bill books 2 books"/>
    <x v="1"/>
  </r>
  <r>
    <n v="100"/>
    <s v="Tea Packet"/>
    <x v="2"/>
  </r>
  <r>
    <n v="50"/>
    <s v="Petrol Bike Nodal Schl khejdawas"/>
    <x v="2"/>
  </r>
  <r>
    <n v="200"/>
    <s v="Cash Broom(Jhadu)"/>
    <x v="3"/>
  </r>
  <r>
    <n v="100"/>
    <s v="Dressing NAME Bugaliya"/>
    <x v="2"/>
  </r>
  <r>
    <n v="60"/>
    <s v="Print outs"/>
    <x v="2"/>
  </r>
  <r>
    <n v="100"/>
    <s v="Tea Driver expense"/>
    <x v="2"/>
  </r>
  <r>
    <n v="800"/>
    <s v="Milk Bill January"/>
    <x v="2"/>
  </r>
  <r>
    <n v="50"/>
    <s v="Petrol Khejdawas govt school"/>
    <x v="2"/>
  </r>
  <r>
    <n v="50"/>
    <s v="Ginger"/>
    <x v="2"/>
  </r>
  <r>
    <n v="2439"/>
    <s v="School electricity bill"/>
    <x v="4"/>
  </r>
  <r>
    <n v="160"/>
    <s v="Chai cheeni"/>
    <x v="2"/>
  </r>
  <r>
    <n v="0"/>
    <s v="Electricity bill  - already entered"/>
    <x v="4"/>
  </r>
  <r>
    <n v="0"/>
    <s v="Staitiona &amp; Otheres  - already entered"/>
    <x v="5"/>
  </r>
  <r>
    <n v="400"/>
    <s v="Petrol"/>
    <x v="2"/>
  </r>
  <r>
    <n v="4330"/>
    <s v="Toiletories"/>
    <x v="3"/>
  </r>
  <r>
    <n v="500"/>
    <s v="Staitiona &amp; Otheres"/>
    <x v="5"/>
  </r>
  <r>
    <n v="3000"/>
    <s v="Diesel cash"/>
    <x v="6"/>
  </r>
  <r>
    <n v="200"/>
    <s v="Petrol"/>
    <x v="2"/>
  </r>
  <r>
    <n v="8700"/>
    <s v="Pumphlets"/>
    <x v="7"/>
  </r>
  <r>
    <n v="2000"/>
    <s v="Paper typing"/>
    <x v="8"/>
  </r>
  <r>
    <n v="4754"/>
    <s v="Electricity bill"/>
    <x v="4"/>
  </r>
  <r>
    <n v="2880"/>
    <s v="Staitiona &amp; Otheres"/>
    <x v="5"/>
  </r>
  <r>
    <n v="34000"/>
    <s v="Haldighati school attachement charges"/>
    <x v="9"/>
  </r>
  <r>
    <n v="15500"/>
    <s v="Vinayak petrolPump"/>
    <x v="6"/>
  </r>
  <r>
    <n v="18000"/>
    <s v="Fee Refund"/>
    <x v="10"/>
  </r>
  <r>
    <n v="1880"/>
    <s v="Diesel cash"/>
    <x v="6"/>
  </r>
  <r>
    <n v="100"/>
    <s v="Petrol cash"/>
    <x v="2"/>
  </r>
  <r>
    <n v="5400"/>
    <s v="Staitiona &amp; Otheres"/>
    <x v="5"/>
  </r>
  <r>
    <n v="5000"/>
    <s v="Guest teacher salary"/>
    <x v="11"/>
  </r>
  <r>
    <n v="14550"/>
    <s v="15 Aug celebration"/>
    <x v="12"/>
  </r>
  <r>
    <n v="14362"/>
    <s v="Electricity bill"/>
    <x v="4"/>
  </r>
  <r>
    <n v="2000"/>
    <s v="Flex printouts"/>
    <x v="7"/>
  </r>
  <r>
    <n v="1250"/>
    <s v="Cash diesel/Patrol"/>
    <x v="6"/>
  </r>
  <r>
    <n v="1455"/>
    <s v="Staitiona &amp; Otheres"/>
    <x v="5"/>
  </r>
  <r>
    <n v="20600"/>
    <s v="Haldighati school attachement charges"/>
    <x v="9"/>
  </r>
  <r>
    <n v="5000"/>
    <s v="Painter"/>
    <x v="7"/>
  </r>
  <r>
    <n v="6000"/>
    <s v="Electrician &amp; equipments"/>
    <x v="4"/>
  </r>
  <r>
    <n v="2624"/>
    <s v="Othere maintenance"/>
    <x v="13"/>
  </r>
  <r>
    <n v="310"/>
    <s v="Cash diesel/Patrol"/>
    <x v="2"/>
  </r>
  <r>
    <n v="1210"/>
    <s v="Stationary"/>
    <x v="5"/>
  </r>
  <r>
    <n v="1510"/>
    <s v="Tea expense"/>
    <x v="2"/>
  </r>
  <r>
    <n v="1000"/>
    <s v="Extra Route Charge"/>
    <x v="2"/>
  </r>
  <r>
    <n v="500"/>
    <s v="Suwamani bhooj"/>
    <x v="2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J5:K19" firstHeaderRow="1" firstDataRow="1" firstDataCol="1"/>
  <pivotFields count="3">
    <pivotField dataField="1" showAll="0"/>
    <pivotField showAll="0"/>
    <pivotField axis="axisRow" showAll="0">
      <items count="15">
        <item h="1" x="1"/>
        <item x="7"/>
        <item x="9"/>
        <item x="4"/>
        <item x="3"/>
        <item x="2"/>
        <item x="6"/>
        <item x="12"/>
        <item x="10"/>
        <item x="13"/>
        <item x="11"/>
        <item x="8"/>
        <item x="5"/>
        <item x="0"/>
        <item t="default"/>
      </items>
    </pivotField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7" dT="2022-08-31T05:26:06.57" personId="{00000000-0000-0000-0000-000000000000}" id="{ABBE2F91-60C0-459A-B259-8831499FA79B}">
    <text>This is against transport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6" dT="2020-08-23T08:46:29.25" personId="{00000000-0000-0000-0000-000000000000}" id="{D8B59B4E-4957-4CC7-A8AD-832C932C2555}">
    <text>started on 15th May, 4 CL, so 7 day salary</text>
  </threadedComment>
  <threadedComment ref="F8" dT="2020-08-23T08:51:51.16" personId="{00000000-0000-0000-0000-000000000000}" id="{029ED813-F238-4897-B47F-74042103F365}">
    <text>5 CLs, so paid for 23 days out of f 27 working days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Relationship Id="rId4" Type="http://schemas.microsoft.com/office/2017/10/relationships/threadedComment" Target="../threadedComments/threadedComment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6"/>
  <dimension ref="B1:N14"/>
  <sheetViews>
    <sheetView workbookViewId="0">
      <selection activeCell="K3" sqref="K3"/>
    </sheetView>
  </sheetViews>
  <sheetFormatPr defaultRowHeight="15"/>
  <cols>
    <col min="11" max="11" width="11.140625" bestFit="1" customWidth="1"/>
    <col min="14" max="14" width="0" hidden="1" customWidth="1"/>
  </cols>
  <sheetData>
    <row r="1" spans="2:14" ht="15.75" thickBot="1"/>
    <row r="2" spans="2:14" ht="15.75" thickTop="1">
      <c r="B2" s="255" t="s">
        <v>1142</v>
      </c>
      <c r="C2" s="256"/>
      <c r="D2" s="256"/>
      <c r="E2" s="256"/>
      <c r="F2" s="257"/>
      <c r="G2" s="199"/>
      <c r="H2" s="200"/>
      <c r="I2" s="201"/>
      <c r="J2" s="202"/>
      <c r="K2" s="203" t="s">
        <v>1143</v>
      </c>
    </row>
    <row r="3" spans="2:14" ht="15.75" thickBot="1">
      <c r="B3" s="258"/>
      <c r="C3" s="259"/>
      <c r="D3" s="259"/>
      <c r="E3" s="259"/>
      <c r="F3" s="260"/>
      <c r="G3" s="204"/>
      <c r="H3" s="205"/>
      <c r="I3" s="206"/>
      <c r="J3" s="202"/>
      <c r="K3" t="s">
        <v>1146</v>
      </c>
      <c r="N3" t="s">
        <v>1144</v>
      </c>
    </row>
    <row r="4" spans="2:14" ht="16.5" thickTop="1" thickBot="1">
      <c r="B4" s="202"/>
      <c r="C4" s="202"/>
      <c r="D4" s="202"/>
      <c r="E4" s="202"/>
      <c r="F4" s="202"/>
      <c r="G4" s="202"/>
      <c r="H4" s="202"/>
      <c r="I4" s="202"/>
      <c r="J4" s="202"/>
      <c r="K4" s="202"/>
      <c r="N4" t="s">
        <v>1146</v>
      </c>
    </row>
    <row r="5" spans="2:14" ht="15.75" thickTop="1">
      <c r="B5" s="255"/>
      <c r="C5" s="261"/>
      <c r="D5" s="261"/>
      <c r="E5" s="261"/>
      <c r="F5" s="262"/>
      <c r="G5" s="199"/>
      <c r="H5" s="200"/>
      <c r="I5" s="201"/>
      <c r="J5" s="202"/>
      <c r="K5" s="203"/>
      <c r="N5" t="s">
        <v>48</v>
      </c>
    </row>
    <row r="6" spans="2:14" ht="15.75" thickBot="1">
      <c r="B6" s="263"/>
      <c r="C6" s="264"/>
      <c r="D6" s="264"/>
      <c r="E6" s="264"/>
      <c r="F6" s="265"/>
      <c r="G6" s="204"/>
      <c r="H6" s="205"/>
      <c r="I6" s="206"/>
      <c r="J6" s="202"/>
      <c r="K6" s="207"/>
      <c r="N6" t="s">
        <v>44</v>
      </c>
    </row>
    <row r="7" spans="2:14" ht="16.5" thickTop="1" thickBot="1">
      <c r="B7" s="202"/>
      <c r="C7" s="202"/>
      <c r="D7" s="202"/>
      <c r="E7" s="202"/>
      <c r="F7" s="202"/>
      <c r="G7" s="202"/>
      <c r="H7" s="202"/>
      <c r="I7" s="202"/>
      <c r="J7" s="202"/>
      <c r="K7" s="202"/>
      <c r="N7" t="s">
        <v>45</v>
      </c>
    </row>
    <row r="8" spans="2:14" ht="15.75" thickTop="1">
      <c r="B8" s="255"/>
      <c r="C8" s="261"/>
      <c r="D8" s="261"/>
      <c r="E8" s="261"/>
      <c r="F8" s="262"/>
      <c r="G8" s="199"/>
      <c r="H8" s="200"/>
      <c r="I8" s="201"/>
      <c r="J8" s="202"/>
      <c r="K8" s="203"/>
      <c r="N8" t="s">
        <v>0</v>
      </c>
    </row>
    <row r="9" spans="2:14" ht="15.75" thickBot="1">
      <c r="B9" s="263"/>
      <c r="C9" s="264"/>
      <c r="D9" s="264"/>
      <c r="E9" s="264"/>
      <c r="F9" s="265"/>
      <c r="G9" s="204"/>
      <c r="H9" s="205"/>
      <c r="I9" s="206"/>
      <c r="J9" s="202"/>
      <c r="K9" s="207"/>
      <c r="N9" t="s">
        <v>1</v>
      </c>
    </row>
    <row r="10" spans="2:14" ht="15.75" thickTop="1">
      <c r="N10" t="s">
        <v>1147</v>
      </c>
    </row>
    <row r="11" spans="2:14">
      <c r="N11" t="s">
        <v>1148</v>
      </c>
    </row>
    <row r="12" spans="2:14">
      <c r="N12" t="s">
        <v>1149</v>
      </c>
    </row>
    <row r="13" spans="2:14">
      <c r="N13" t="s">
        <v>1150</v>
      </c>
    </row>
    <row r="14" spans="2:14">
      <c r="N14" t="s">
        <v>1145</v>
      </c>
    </row>
  </sheetData>
  <dataConsolidate/>
  <mergeCells count="3">
    <mergeCell ref="B2:F3"/>
    <mergeCell ref="B5:F6"/>
    <mergeCell ref="B8:F9"/>
  </mergeCells>
  <dataValidations count="2">
    <dataValidation type="list" allowBlank="1" showInputMessage="1" showErrorMessage="1" sqref="K9 K6">
      <formula1>[1]StaticDetails!$P$2:$P$13</formula1>
    </dataValidation>
    <dataValidation type="list" allowBlank="1" showInputMessage="1" showErrorMessage="1" sqref="K3">
      <formula1>$N$3:$N$14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69"/>
  <sheetViews>
    <sheetView zoomScale="80" zoomScaleNormal="80" workbookViewId="0">
      <selection activeCell="M18" sqref="M18"/>
    </sheetView>
  </sheetViews>
  <sheetFormatPr defaultColWidth="8.7109375" defaultRowHeight="15"/>
  <cols>
    <col min="1" max="1" width="23.28515625" style="14" customWidth="1"/>
    <col min="2" max="2" width="10.5703125" style="14" bestFit="1" customWidth="1"/>
    <col min="3" max="3" width="17.7109375" style="14" customWidth="1"/>
    <col min="4" max="4" width="11.28515625" style="14" customWidth="1"/>
    <col min="5" max="5" width="46.28515625" style="14" bestFit="1" customWidth="1"/>
    <col min="6" max="16384" width="8.7109375" style="14"/>
  </cols>
  <sheetData>
    <row r="1" spans="1:17" ht="18.75">
      <c r="A1" s="267" t="s">
        <v>1244</v>
      </c>
      <c r="B1" s="268"/>
      <c r="C1" s="268"/>
      <c r="D1" s="268"/>
      <c r="E1" s="269"/>
    </row>
    <row r="2" spans="1:17">
      <c r="A2" s="132" t="s">
        <v>1239</v>
      </c>
      <c r="B2" s="23">
        <f>B24</f>
        <v>2494735</v>
      </c>
      <c r="C2" s="23"/>
      <c r="D2" s="23"/>
      <c r="E2" s="23"/>
    </row>
    <row r="3" spans="1:17">
      <c r="A3" s="132" t="s">
        <v>1240</v>
      </c>
      <c r="B3" s="39">
        <f>C29</f>
        <v>2247129</v>
      </c>
      <c r="C3" s="23"/>
      <c r="D3" s="23"/>
      <c r="E3" s="23"/>
    </row>
    <row r="4" spans="1:17" s="112" customFormat="1">
      <c r="A4" s="133" t="s">
        <v>440</v>
      </c>
      <c r="B4" s="39">
        <f>B2-B3</f>
        <v>247606</v>
      </c>
      <c r="C4" s="23"/>
      <c r="D4" s="23"/>
      <c r="E4" s="23" t="s">
        <v>1238</v>
      </c>
      <c r="G4" s="14"/>
      <c r="H4" s="139"/>
      <c r="I4" s="140"/>
      <c r="Q4" s="14"/>
    </row>
    <row r="5" spans="1:17" s="112" customFormat="1">
      <c r="A5" s="133" t="s">
        <v>1241</v>
      </c>
      <c r="B5" s="39">
        <f>E29</f>
        <v>435323</v>
      </c>
      <c r="C5" s="23"/>
      <c r="D5" s="23"/>
      <c r="E5" s="23"/>
      <c r="G5" s="14"/>
      <c r="H5" s="139"/>
      <c r="I5" s="140"/>
      <c r="Q5" s="14"/>
    </row>
    <row r="6" spans="1:17" s="112" customFormat="1">
      <c r="A6" s="133" t="s">
        <v>1242</v>
      </c>
      <c r="B6" s="39"/>
      <c r="C6" s="23"/>
      <c r="D6" s="23"/>
      <c r="E6" s="23" t="s">
        <v>1243</v>
      </c>
      <c r="G6" s="14"/>
      <c r="H6" s="139"/>
      <c r="I6" s="140"/>
      <c r="Q6" s="14"/>
    </row>
    <row r="7" spans="1:17">
      <c r="F7" s="43"/>
    </row>
    <row r="8" spans="1:17" ht="17.25">
      <c r="A8" s="266" t="s">
        <v>781</v>
      </c>
      <c r="B8" s="266"/>
      <c r="C8" s="266"/>
      <c r="D8" s="266"/>
      <c r="E8" s="266"/>
    </row>
    <row r="9" spans="1:17">
      <c r="A9" s="100" t="s">
        <v>779</v>
      </c>
      <c r="B9" s="23" t="s">
        <v>783</v>
      </c>
      <c r="C9" s="23">
        <v>877850</v>
      </c>
      <c r="D9" s="23"/>
      <c r="E9" s="23" t="s">
        <v>786</v>
      </c>
      <c r="F9" s="43"/>
    </row>
    <row r="10" spans="1:17">
      <c r="A10" s="100" t="s">
        <v>780</v>
      </c>
      <c r="B10" s="23" t="s">
        <v>783</v>
      </c>
      <c r="C10" s="23">
        <v>320000</v>
      </c>
      <c r="D10" s="23"/>
      <c r="E10" s="23"/>
      <c r="F10" s="43"/>
    </row>
    <row r="11" spans="1:17">
      <c r="A11" s="100" t="s">
        <v>782</v>
      </c>
      <c r="B11" s="23" t="s">
        <v>784</v>
      </c>
      <c r="C11" s="23"/>
      <c r="D11" s="23">
        <f>Diesel!D7</f>
        <v>473332</v>
      </c>
      <c r="E11" s="23" t="s">
        <v>787</v>
      </c>
      <c r="F11" s="43"/>
    </row>
    <row r="12" spans="1:17">
      <c r="A12" s="100" t="s">
        <v>449</v>
      </c>
      <c r="B12" s="23" t="s">
        <v>784</v>
      </c>
      <c r="C12" s="23"/>
      <c r="D12" s="39">
        <f>D29-D11</f>
        <v>291823</v>
      </c>
      <c r="E12" s="23"/>
      <c r="F12" s="43"/>
    </row>
    <row r="13" spans="1:17">
      <c r="A13" s="100" t="s">
        <v>785</v>
      </c>
      <c r="B13" s="23" t="s">
        <v>784</v>
      </c>
      <c r="C13" s="23"/>
      <c r="D13" s="23"/>
      <c r="E13" s="23"/>
      <c r="F13" s="43"/>
    </row>
    <row r="14" spans="1:17">
      <c r="A14" s="100" t="s">
        <v>31</v>
      </c>
      <c r="B14" s="23"/>
      <c r="C14" s="160">
        <f>SUM(C9:C13)</f>
        <v>1197850</v>
      </c>
      <c r="D14" s="160">
        <f>SUM(D9:D13)</f>
        <v>765155</v>
      </c>
      <c r="E14" s="23"/>
      <c r="F14" s="43"/>
    </row>
    <row r="15" spans="1:17">
      <c r="F15" s="43"/>
    </row>
    <row r="16" spans="1:17" ht="17.25">
      <c r="A16" s="266" t="s">
        <v>788</v>
      </c>
      <c r="B16" s="266"/>
      <c r="C16" s="266"/>
      <c r="D16" s="266"/>
      <c r="E16" s="266"/>
    </row>
    <row r="17" spans="1:8">
      <c r="A17" s="132" t="s">
        <v>467</v>
      </c>
      <c r="B17" s="100" t="s">
        <v>17</v>
      </c>
      <c r="C17" s="100" t="s">
        <v>52</v>
      </c>
      <c r="D17" s="100"/>
      <c r="E17" s="100"/>
    </row>
    <row r="18" spans="1:8">
      <c r="A18" s="134" t="s">
        <v>523</v>
      </c>
      <c r="B18" s="152">
        <f>'Fee 22-23'!I3+'Fee 22-23'!M3+106900</f>
        <v>2252750</v>
      </c>
      <c r="C18" s="19" t="s">
        <v>527</v>
      </c>
      <c r="D18" s="19"/>
      <c r="E18" s="19" t="s">
        <v>541</v>
      </c>
      <c r="F18" s="14" t="s">
        <v>1219</v>
      </c>
    </row>
    <row r="19" spans="1:8">
      <c r="A19" s="134" t="s">
        <v>524</v>
      </c>
      <c r="B19" s="152">
        <f>OtherIncm!B4</f>
        <v>23830</v>
      </c>
      <c r="C19" s="19"/>
      <c r="D19" s="19"/>
      <c r="E19" s="19"/>
    </row>
    <row r="20" spans="1:8">
      <c r="A20" s="134" t="s">
        <v>526</v>
      </c>
      <c r="B20" s="152">
        <v>159000</v>
      </c>
      <c r="C20" s="19" t="s">
        <v>525</v>
      </c>
      <c r="D20" s="19"/>
      <c r="E20" s="19"/>
    </row>
    <row r="21" spans="1:8">
      <c r="A21" s="134" t="s">
        <v>464</v>
      </c>
      <c r="B21" s="153">
        <f>OtherIncm!B49</f>
        <v>0</v>
      </c>
      <c r="C21" s="19"/>
      <c r="D21" s="19"/>
      <c r="E21" s="19"/>
    </row>
    <row r="22" spans="1:8">
      <c r="A22" s="134" t="s">
        <v>465</v>
      </c>
      <c r="B22" s="129"/>
      <c r="C22" s="23"/>
      <c r="D22" s="23"/>
      <c r="E22" s="23"/>
    </row>
    <row r="23" spans="1:8">
      <c r="A23" s="251" t="s">
        <v>1237</v>
      </c>
      <c r="B23" s="19">
        <f>Income!B3</f>
        <v>59155</v>
      </c>
      <c r="C23" s="19"/>
      <c r="D23" s="19"/>
      <c r="E23" s="19"/>
    </row>
    <row r="24" spans="1:8">
      <c r="A24" s="135" t="s">
        <v>466</v>
      </c>
      <c r="B24" s="100">
        <f>SUM(B18:B23)</f>
        <v>2494735</v>
      </c>
      <c r="C24" s="23"/>
      <c r="D24" s="23"/>
      <c r="E24" s="23"/>
    </row>
    <row r="27" spans="1:8" ht="17.25">
      <c r="A27" s="266" t="s">
        <v>789</v>
      </c>
      <c r="B27" s="266"/>
      <c r="C27" s="266"/>
      <c r="D27" s="266"/>
      <c r="E27" s="266"/>
      <c r="F27" s="23" t="s">
        <v>1124</v>
      </c>
      <c r="G27" s="14" t="s">
        <v>1165</v>
      </c>
    </row>
    <row r="28" spans="1:8">
      <c r="A28" s="134" t="s">
        <v>43</v>
      </c>
      <c r="B28" s="132" t="s">
        <v>31</v>
      </c>
      <c r="C28" s="132" t="s">
        <v>463</v>
      </c>
      <c r="D28" s="132" t="s">
        <v>30</v>
      </c>
      <c r="E28" s="132" t="s">
        <v>42</v>
      </c>
      <c r="F28" s="23"/>
    </row>
    <row r="29" spans="1:8">
      <c r="A29" s="132" t="s">
        <v>41</v>
      </c>
      <c r="B29" s="130">
        <f>SUM(B30:B69)</f>
        <v>3012284</v>
      </c>
      <c r="C29" s="130">
        <f>SUM(C30:C69)</f>
        <v>2247129</v>
      </c>
      <c r="D29" s="130">
        <f>SUM(D30:D69)</f>
        <v>765155</v>
      </c>
      <c r="E29" s="130">
        <f>D29-D62</f>
        <v>435323</v>
      </c>
      <c r="F29" s="23"/>
      <c r="G29" s="39">
        <f>(D29/B29)*100</f>
        <v>25.401157394189923</v>
      </c>
      <c r="H29" s="43"/>
    </row>
    <row r="30" spans="1:8">
      <c r="A30" s="136" t="s">
        <v>32</v>
      </c>
      <c r="B30" s="39">
        <f>RSK!C24</f>
        <v>470000</v>
      </c>
      <c r="C30" s="39">
        <f>RSK!C25</f>
        <v>475000</v>
      </c>
      <c r="D30" s="39">
        <f>RSK!C26</f>
        <v>-5000</v>
      </c>
      <c r="E30" s="23"/>
      <c r="F30" s="23" t="s">
        <v>1125</v>
      </c>
      <c r="G30" s="236">
        <f t="shared" ref="G30:G60" si="0">(D30/B30)*100</f>
        <v>-1.0638297872340425</v>
      </c>
    </row>
    <row r="31" spans="1:8">
      <c r="A31" s="151" t="s">
        <v>33</v>
      </c>
      <c r="B31" s="39">
        <f>MK!C23</f>
        <v>24000</v>
      </c>
      <c r="C31" s="39">
        <f>MK!C24</f>
        <v>24000</v>
      </c>
      <c r="D31" s="39">
        <f>MK!C25</f>
        <v>0</v>
      </c>
      <c r="E31" s="23" t="s">
        <v>1127</v>
      </c>
      <c r="F31" s="148" t="s">
        <v>1126</v>
      </c>
      <c r="G31" s="39">
        <f t="shared" si="0"/>
        <v>0</v>
      </c>
    </row>
    <row r="32" spans="1:8">
      <c r="A32" s="136" t="s">
        <v>54</v>
      </c>
      <c r="B32" s="39">
        <f>SM!C23</f>
        <v>126279</v>
      </c>
      <c r="C32" s="39">
        <f>SM!C24</f>
        <v>83500</v>
      </c>
      <c r="D32" s="39">
        <f>SM!C25</f>
        <v>42779</v>
      </c>
      <c r="E32" s="23"/>
      <c r="F32" s="23" t="s">
        <v>1125</v>
      </c>
      <c r="G32" s="237">
        <f t="shared" si="0"/>
        <v>33.876574885768811</v>
      </c>
    </row>
    <row r="33" spans="1:7">
      <c r="A33" s="136" t="s">
        <v>34</v>
      </c>
      <c r="B33" s="39">
        <f>SP!C23</f>
        <v>139264</v>
      </c>
      <c r="C33" s="39">
        <f>SP!C24</f>
        <v>78000</v>
      </c>
      <c r="D33" s="39">
        <f>SP!C25</f>
        <v>61264</v>
      </c>
      <c r="E33" s="23"/>
      <c r="F33" s="23" t="s">
        <v>1125</v>
      </c>
      <c r="G33" s="235">
        <f t="shared" si="0"/>
        <v>43.991268382352942</v>
      </c>
    </row>
    <row r="34" spans="1:7">
      <c r="A34" s="136" t="s">
        <v>35</v>
      </c>
      <c r="B34" s="39">
        <f>RM!C23</f>
        <v>36706</v>
      </c>
      <c r="C34" s="39">
        <f>RM!C24</f>
        <v>36706</v>
      </c>
      <c r="D34" s="39">
        <f>RM!C25</f>
        <v>0</v>
      </c>
      <c r="E34" s="23"/>
      <c r="F34" s="23" t="s">
        <v>1125</v>
      </c>
      <c r="G34" s="39">
        <f t="shared" si="0"/>
        <v>0</v>
      </c>
    </row>
    <row r="35" spans="1:7">
      <c r="A35" s="136" t="s">
        <v>36</v>
      </c>
      <c r="B35" s="39">
        <f>MM!C23</f>
        <v>18300</v>
      </c>
      <c r="C35" s="39">
        <f>MM!C24</f>
        <v>18300</v>
      </c>
      <c r="D35" s="39">
        <f>MM!C25</f>
        <v>0</v>
      </c>
      <c r="E35" s="23"/>
      <c r="F35" s="23" t="s">
        <v>1125</v>
      </c>
      <c r="G35" s="39">
        <f t="shared" si="0"/>
        <v>0</v>
      </c>
    </row>
    <row r="36" spans="1:7">
      <c r="A36" s="136" t="s">
        <v>37</v>
      </c>
      <c r="B36" s="39">
        <f>SJ!C23</f>
        <v>2800</v>
      </c>
      <c r="C36" s="39">
        <f>SJ!C24</f>
        <v>2800</v>
      </c>
      <c r="D36" s="39">
        <f>SJ!C25</f>
        <v>0</v>
      </c>
      <c r="E36" s="23"/>
      <c r="F36" s="23" t="s">
        <v>1125</v>
      </c>
      <c r="G36" s="39">
        <f t="shared" si="0"/>
        <v>0</v>
      </c>
    </row>
    <row r="37" spans="1:7">
      <c r="A37" s="136" t="s">
        <v>38</v>
      </c>
      <c r="B37" s="39">
        <f>PS!C23</f>
        <v>194483</v>
      </c>
      <c r="C37" s="39">
        <f>PS!C24</f>
        <v>142000</v>
      </c>
      <c r="D37" s="39">
        <f>PS!C25</f>
        <v>52483</v>
      </c>
      <c r="E37" s="23"/>
      <c r="F37" s="23" t="s">
        <v>1125</v>
      </c>
      <c r="G37" s="309">
        <f t="shared" si="0"/>
        <v>26.985906223166033</v>
      </c>
    </row>
    <row r="38" spans="1:7">
      <c r="A38" s="136" t="s">
        <v>39</v>
      </c>
      <c r="B38" s="39">
        <f>AB!C23</f>
        <v>51903</v>
      </c>
      <c r="C38" s="39">
        <f>AB!C24</f>
        <v>47600</v>
      </c>
      <c r="D38" s="39">
        <f>AB!C25</f>
        <v>4303</v>
      </c>
      <c r="E38" s="23"/>
      <c r="F38" s="23" t="s">
        <v>1125</v>
      </c>
      <c r="G38" s="39">
        <f t="shared" si="0"/>
        <v>8.2904649056894595</v>
      </c>
    </row>
    <row r="39" spans="1:7">
      <c r="A39" s="136" t="s">
        <v>60</v>
      </c>
      <c r="B39" s="39">
        <f>CDV!C23</f>
        <v>112591</v>
      </c>
      <c r="C39" s="39">
        <f>CDV!C24</f>
        <v>60000</v>
      </c>
      <c r="D39" s="39">
        <f>CDV!C25</f>
        <v>52591</v>
      </c>
      <c r="E39" s="23"/>
      <c r="F39" s="23" t="s">
        <v>1125</v>
      </c>
      <c r="G39" s="235">
        <f t="shared" si="0"/>
        <v>46.709772539545789</v>
      </c>
    </row>
    <row r="40" spans="1:7">
      <c r="A40" s="136" t="s">
        <v>497</v>
      </c>
      <c r="B40" s="39">
        <f>PG!C23</f>
        <v>74314</v>
      </c>
      <c r="C40" s="39">
        <f>PG!C24</f>
        <v>45000</v>
      </c>
      <c r="D40" s="39">
        <f>PG!C25</f>
        <v>29314</v>
      </c>
      <c r="E40" s="100"/>
      <c r="F40" s="23" t="s">
        <v>1125</v>
      </c>
      <c r="G40" s="310">
        <f t="shared" si="0"/>
        <v>39.446133972064487</v>
      </c>
    </row>
    <row r="41" spans="1:7">
      <c r="A41" s="136" t="s">
        <v>614</v>
      </c>
      <c r="B41" s="39">
        <f>RSF!C23</f>
        <v>9600</v>
      </c>
      <c r="C41" s="39">
        <f>RSF!C24</f>
        <v>12000</v>
      </c>
      <c r="D41" s="39">
        <f>RSF!C25</f>
        <v>-2400</v>
      </c>
      <c r="E41" s="23"/>
      <c r="F41" s="23"/>
      <c r="G41" s="39">
        <f t="shared" si="0"/>
        <v>-25</v>
      </c>
    </row>
    <row r="42" spans="1:7">
      <c r="A42" s="136" t="s">
        <v>762</v>
      </c>
      <c r="B42" s="39">
        <f>TK!C23</f>
        <v>17065</v>
      </c>
      <c r="C42" s="39">
        <f>TK!C24</f>
        <v>17065</v>
      </c>
      <c r="D42" s="39">
        <f>TK!C25</f>
        <v>0</v>
      </c>
      <c r="E42" s="23"/>
      <c r="F42" s="23" t="s">
        <v>1125</v>
      </c>
      <c r="G42" s="39">
        <f t="shared" si="0"/>
        <v>0</v>
      </c>
    </row>
    <row r="43" spans="1:7">
      <c r="A43" s="136" t="s">
        <v>763</v>
      </c>
      <c r="B43" s="39">
        <f>BD!C23</f>
        <v>41800</v>
      </c>
      <c r="C43" s="39">
        <f>BD!C24</f>
        <v>41800</v>
      </c>
      <c r="D43" s="39">
        <f>BD!C25</f>
        <v>0</v>
      </c>
      <c r="E43" s="23"/>
      <c r="F43" s="23" t="s">
        <v>1125</v>
      </c>
      <c r="G43" s="39">
        <f t="shared" si="0"/>
        <v>0</v>
      </c>
    </row>
    <row r="44" spans="1:7">
      <c r="A44" s="136" t="s">
        <v>764</v>
      </c>
      <c r="B44" s="39">
        <f>MKN!C23</f>
        <v>207732</v>
      </c>
      <c r="C44" s="39">
        <f>MKN!C24</f>
        <v>161350</v>
      </c>
      <c r="D44" s="39">
        <f>MKN!C25</f>
        <v>46382</v>
      </c>
      <c r="E44" s="23"/>
      <c r="F44" s="23" t="s">
        <v>1125</v>
      </c>
      <c r="G44" s="39">
        <f t="shared" si="0"/>
        <v>22.327806982073056</v>
      </c>
    </row>
    <row r="45" spans="1:7">
      <c r="A45" s="136" t="s">
        <v>765</v>
      </c>
      <c r="B45" s="39">
        <f>RKS!C23</f>
        <v>36266</v>
      </c>
      <c r="C45" s="39">
        <f>RKS!C24</f>
        <v>36266</v>
      </c>
      <c r="D45" s="39">
        <f>RKS!C25</f>
        <v>0</v>
      </c>
      <c r="E45" s="23"/>
      <c r="F45" s="23" t="s">
        <v>1125</v>
      </c>
      <c r="G45" s="39">
        <f t="shared" si="0"/>
        <v>0</v>
      </c>
    </row>
    <row r="46" spans="1:7">
      <c r="A46" s="136" t="s">
        <v>766</v>
      </c>
      <c r="B46" s="39">
        <f>HB!C23</f>
        <v>43560</v>
      </c>
      <c r="C46" s="39">
        <f>HB!C24</f>
        <v>43560</v>
      </c>
      <c r="D46" s="39">
        <f>HB!C25</f>
        <v>0</v>
      </c>
      <c r="E46" s="23"/>
      <c r="F46" s="23" t="s">
        <v>1125</v>
      </c>
      <c r="G46" s="39">
        <f t="shared" si="0"/>
        <v>0</v>
      </c>
    </row>
    <row r="47" spans="1:7">
      <c r="A47" s="136" t="s">
        <v>823</v>
      </c>
      <c r="B47" s="39">
        <f>SG!C23</f>
        <v>64016</v>
      </c>
      <c r="C47" s="39">
        <f>SG!C24</f>
        <v>20000</v>
      </c>
      <c r="D47" s="39">
        <f>SG!C25</f>
        <v>44016</v>
      </c>
      <c r="E47" s="23"/>
      <c r="F47" s="23" t="s">
        <v>1125</v>
      </c>
      <c r="G47" s="235">
        <f t="shared" si="0"/>
        <v>68.757810547363164</v>
      </c>
    </row>
    <row r="48" spans="1:7">
      <c r="A48" s="136" t="s">
        <v>824</v>
      </c>
      <c r="B48" s="39">
        <f>RAS!C23</f>
        <v>70333</v>
      </c>
      <c r="C48" s="39">
        <f>RAS!C24</f>
        <v>53000</v>
      </c>
      <c r="D48" s="39">
        <f>RAS!C25</f>
        <v>17333</v>
      </c>
      <c r="E48" s="23"/>
      <c r="F48" s="23" t="s">
        <v>1125</v>
      </c>
      <c r="G48" s="236">
        <f t="shared" si="0"/>
        <v>24.64419262650534</v>
      </c>
    </row>
    <row r="49" spans="1:7">
      <c r="A49" s="136" t="s">
        <v>814</v>
      </c>
      <c r="B49" s="39">
        <f>SV!C23</f>
        <v>41250</v>
      </c>
      <c r="C49" s="39">
        <f>SV!C24</f>
        <v>41250</v>
      </c>
      <c r="D49" s="39">
        <f>SV!C25</f>
        <v>0</v>
      </c>
      <c r="E49" s="23"/>
      <c r="F49" s="23" t="s">
        <v>1125</v>
      </c>
      <c r="G49" s="39">
        <f t="shared" si="0"/>
        <v>0</v>
      </c>
    </row>
    <row r="50" spans="1:7">
      <c r="A50" s="136" t="s">
        <v>825</v>
      </c>
      <c r="B50" s="39">
        <f>AK!C23</f>
        <v>115733</v>
      </c>
      <c r="C50" s="39">
        <f>AK!C24</f>
        <v>90030</v>
      </c>
      <c r="D50" s="39">
        <f>AK!C25</f>
        <v>25703</v>
      </c>
      <c r="E50" s="23"/>
      <c r="F50" s="23" t="s">
        <v>1125</v>
      </c>
      <c r="G50" s="39">
        <f t="shared" si="0"/>
        <v>22.208877329715811</v>
      </c>
    </row>
    <row r="51" spans="1:7">
      <c r="A51" s="136" t="s">
        <v>826</v>
      </c>
      <c r="B51" s="39">
        <f>RME!C23</f>
        <v>71456</v>
      </c>
      <c r="C51" s="39">
        <f>RME!C24</f>
        <v>56000</v>
      </c>
      <c r="D51" s="39">
        <f>RME!C25</f>
        <v>15456</v>
      </c>
      <c r="E51" s="23"/>
      <c r="F51" s="23" t="s">
        <v>1125</v>
      </c>
      <c r="G51" s="39">
        <f t="shared" si="0"/>
        <v>21.630094043887148</v>
      </c>
    </row>
    <row r="52" spans="1:7">
      <c r="A52" s="136" t="s">
        <v>822</v>
      </c>
      <c r="B52" s="39">
        <f>LK!C23</f>
        <v>58431</v>
      </c>
      <c r="C52" s="39">
        <f>LK!C24</f>
        <v>50600</v>
      </c>
      <c r="D52" s="39">
        <f>LK!C25</f>
        <v>7831</v>
      </c>
      <c r="E52" s="23"/>
      <c r="F52" s="23" t="s">
        <v>1125</v>
      </c>
      <c r="G52" s="39">
        <f t="shared" si="0"/>
        <v>13.402132429703412</v>
      </c>
    </row>
    <row r="53" spans="1:7">
      <c r="A53" s="136" t="s">
        <v>821</v>
      </c>
      <c r="B53" s="39">
        <f>PK!C23</f>
        <v>26600</v>
      </c>
      <c r="C53" s="39">
        <f>PK!C24</f>
        <v>26600</v>
      </c>
      <c r="D53" s="39">
        <f>PK!C25</f>
        <v>0</v>
      </c>
      <c r="E53" s="23"/>
      <c r="F53" s="23" t="s">
        <v>1125</v>
      </c>
      <c r="G53" s="39">
        <f t="shared" si="0"/>
        <v>0</v>
      </c>
    </row>
    <row r="54" spans="1:7">
      <c r="A54" s="136" t="s">
        <v>820</v>
      </c>
      <c r="B54" s="39">
        <f>RMH!C23</f>
        <v>51300</v>
      </c>
      <c r="C54" s="39">
        <f>RMH!C24</f>
        <v>17000</v>
      </c>
      <c r="D54" s="39">
        <f>RMH!C25</f>
        <v>34300</v>
      </c>
      <c r="E54" s="23"/>
      <c r="F54" s="23" t="s">
        <v>1125</v>
      </c>
      <c r="G54" s="235">
        <f t="shared" si="0"/>
        <v>66.861598440545805</v>
      </c>
    </row>
    <row r="55" spans="1:7">
      <c r="A55" s="136" t="s">
        <v>1119</v>
      </c>
      <c r="B55" s="39">
        <f>SK!C23</f>
        <v>4613</v>
      </c>
      <c r="C55" s="39">
        <f>SK!C24</f>
        <v>4613</v>
      </c>
      <c r="D55" s="39">
        <f>SK!C25</f>
        <v>0</v>
      </c>
      <c r="E55" s="23"/>
      <c r="F55" s="23" t="s">
        <v>1125</v>
      </c>
      <c r="G55" s="39">
        <f t="shared" si="0"/>
        <v>0</v>
      </c>
    </row>
    <row r="56" spans="1:7">
      <c r="A56" s="136" t="s">
        <v>1120</v>
      </c>
      <c r="B56" s="39">
        <f>AS!C23</f>
        <v>24933</v>
      </c>
      <c r="C56" s="39">
        <f>AS!C24</f>
        <v>21500</v>
      </c>
      <c r="D56" s="39">
        <f>AS!C25</f>
        <v>3433</v>
      </c>
      <c r="E56" s="23"/>
      <c r="F56" s="23" t="s">
        <v>1125</v>
      </c>
      <c r="G56" s="39">
        <f t="shared" si="0"/>
        <v>13.768900653752056</v>
      </c>
    </row>
    <row r="57" spans="1:7">
      <c r="A57" s="136" t="s">
        <v>1121</v>
      </c>
      <c r="B57" s="39">
        <f>DK!C23</f>
        <v>35000</v>
      </c>
      <c r="C57" s="39">
        <f>DK!C24</f>
        <v>40600</v>
      </c>
      <c r="D57" s="39">
        <f>DK!C25</f>
        <v>-5600</v>
      </c>
      <c r="E57" s="23"/>
      <c r="F57" s="23" t="s">
        <v>1125</v>
      </c>
      <c r="G57" s="39">
        <f t="shared" si="0"/>
        <v>-16</v>
      </c>
    </row>
    <row r="58" spans="1:7">
      <c r="A58" s="136" t="s">
        <v>1122</v>
      </c>
      <c r="B58" s="39">
        <f>JS!C23</f>
        <v>16533</v>
      </c>
      <c r="C58" s="39">
        <f>JS!C24</f>
        <v>16533</v>
      </c>
      <c r="D58" s="39">
        <f>JS!C25</f>
        <v>0</v>
      </c>
      <c r="E58" s="23"/>
      <c r="F58" s="23" t="s">
        <v>1125</v>
      </c>
      <c r="G58" s="39">
        <f t="shared" si="0"/>
        <v>0</v>
      </c>
    </row>
    <row r="59" spans="1:7">
      <c r="A59" s="136" t="s">
        <v>1123</v>
      </c>
      <c r="B59" s="39">
        <f>GK!C23</f>
        <v>9000</v>
      </c>
      <c r="C59" s="39">
        <f>GK!C24</f>
        <v>9000</v>
      </c>
      <c r="D59" s="39">
        <f>GK!C25</f>
        <v>0</v>
      </c>
      <c r="E59" s="23"/>
      <c r="F59" s="23" t="s">
        <v>1125</v>
      </c>
      <c r="G59" s="39">
        <f t="shared" si="0"/>
        <v>0</v>
      </c>
    </row>
    <row r="60" spans="1:7">
      <c r="A60" s="136" t="s">
        <v>1128</v>
      </c>
      <c r="B60" s="39">
        <f>MKJ!C23</f>
        <v>48085</v>
      </c>
      <c r="C60" s="39">
        <f>MKJ!C24</f>
        <v>36950</v>
      </c>
      <c r="D60" s="39">
        <f>MKJ!C25</f>
        <v>11135</v>
      </c>
      <c r="E60" s="23"/>
      <c r="F60" s="23"/>
      <c r="G60" s="237">
        <f t="shared" si="0"/>
        <v>23.156909639180618</v>
      </c>
    </row>
    <row r="61" spans="1:7">
      <c r="A61" s="136" t="s">
        <v>40</v>
      </c>
      <c r="B61" s="39">
        <f>Oth!C18</f>
        <v>20830</v>
      </c>
      <c r="C61" s="39">
        <f>Oth!D18</f>
        <v>20830</v>
      </c>
      <c r="D61" s="39">
        <f>Oth!E18</f>
        <v>0</v>
      </c>
      <c r="E61" s="23"/>
      <c r="F61" s="23"/>
    </row>
    <row r="62" spans="1:7">
      <c r="A62" s="151" t="s">
        <v>522</v>
      </c>
      <c r="B62" s="131">
        <f>Diesel!D5</f>
        <v>488832</v>
      </c>
      <c r="C62" s="131">
        <v>159000</v>
      </c>
      <c r="D62" s="39">
        <f>B62-C62</f>
        <v>329832</v>
      </c>
      <c r="E62" s="23" t="s">
        <v>1220</v>
      </c>
      <c r="F62" s="23"/>
    </row>
    <row r="63" spans="1:7">
      <c r="A63" s="151" t="s">
        <v>521</v>
      </c>
      <c r="B63" s="131">
        <f>Diesel!D4</f>
        <v>0</v>
      </c>
      <c r="C63" s="131">
        <f>Diesel!E4</f>
        <v>0</v>
      </c>
      <c r="D63" s="39">
        <f>B63-C63</f>
        <v>0</v>
      </c>
      <c r="E63" s="23"/>
      <c r="F63" s="23"/>
    </row>
    <row r="64" spans="1:7">
      <c r="A64" s="136" t="s">
        <v>47</v>
      </c>
      <c r="B64" s="39">
        <f>Income!C16</f>
        <v>258676</v>
      </c>
      <c r="C64" s="39">
        <f>Income!C16</f>
        <v>258676</v>
      </c>
      <c r="D64" s="39">
        <f>B64-C64</f>
        <v>0</v>
      </c>
      <c r="E64" s="23"/>
      <c r="F64" s="23"/>
    </row>
    <row r="65" spans="1:6">
      <c r="A65" s="136" t="s">
        <v>1225</v>
      </c>
      <c r="B65" s="39"/>
      <c r="C65" s="39"/>
      <c r="D65" s="39"/>
      <c r="E65" s="23"/>
      <c r="F65" s="23"/>
    </row>
    <row r="66" spans="1:6">
      <c r="A66" s="136"/>
      <c r="B66" s="39"/>
      <c r="C66" s="39"/>
      <c r="D66" s="39"/>
      <c r="E66" s="23"/>
      <c r="F66" s="23"/>
    </row>
    <row r="67" spans="1:6">
      <c r="A67" s="136"/>
      <c r="B67" s="39"/>
      <c r="C67" s="39"/>
      <c r="D67" s="39"/>
      <c r="E67" s="23"/>
      <c r="F67" s="23"/>
    </row>
    <row r="68" spans="1:6">
      <c r="A68" s="136"/>
      <c r="B68" s="39"/>
      <c r="C68" s="39"/>
      <c r="D68" s="39"/>
      <c r="E68" s="23"/>
      <c r="F68" s="23"/>
    </row>
    <row r="69" spans="1:6">
      <c r="A69" s="136"/>
      <c r="B69" s="39"/>
      <c r="C69" s="39"/>
      <c r="D69" s="39"/>
      <c r="E69" s="23"/>
      <c r="F69" s="23"/>
    </row>
  </sheetData>
  <mergeCells count="4">
    <mergeCell ref="A27:E27"/>
    <mergeCell ref="A16:E16"/>
    <mergeCell ref="A1:E1"/>
    <mergeCell ref="A8:E8"/>
  </mergeCell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P75"/>
  <sheetViews>
    <sheetView workbookViewId="0">
      <selection activeCell="F20" sqref="F20"/>
    </sheetView>
  </sheetViews>
  <sheetFormatPr defaultRowHeight="15"/>
  <cols>
    <col min="1" max="1" width="11.7109375" bestFit="1" customWidth="1"/>
    <col min="3" max="3" width="12.5703125" bestFit="1" customWidth="1"/>
    <col min="4" max="4" width="9.85546875" bestFit="1" customWidth="1"/>
    <col min="6" max="6" width="28.5703125" bestFit="1" customWidth="1"/>
    <col min="7" max="7" width="2.42578125" customWidth="1"/>
    <col min="8" max="8" width="11.42578125" bestFit="1" customWidth="1"/>
    <col min="9" max="9" width="12.42578125" bestFit="1" customWidth="1"/>
    <col min="10" max="10" width="9" bestFit="1" customWidth="1"/>
    <col min="11" max="11" width="2.140625" customWidth="1"/>
    <col min="12" max="12" width="12" bestFit="1" customWidth="1"/>
    <col min="13" max="13" width="12.28515625" bestFit="1" customWidth="1"/>
    <col min="14" max="14" width="9" bestFit="1" customWidth="1"/>
  </cols>
  <sheetData>
    <row r="1" spans="1:16">
      <c r="A1" s="270" t="s">
        <v>1235</v>
      </c>
      <c r="B1" s="270"/>
      <c r="C1" s="270"/>
      <c r="D1" s="270"/>
      <c r="E1" s="270"/>
      <c r="F1" s="270"/>
      <c r="H1" s="155" t="s">
        <v>790</v>
      </c>
      <c r="I1" s="155" t="s">
        <v>828</v>
      </c>
      <c r="J1" s="155" t="s">
        <v>791</v>
      </c>
      <c r="L1" s="155" t="s">
        <v>829</v>
      </c>
      <c r="M1" s="155" t="s">
        <v>830</v>
      </c>
      <c r="N1" s="155" t="s">
        <v>791</v>
      </c>
    </row>
    <row r="2" spans="1:16">
      <c r="A2" s="161" t="s">
        <v>613</v>
      </c>
      <c r="B2" s="161" t="s">
        <v>831</v>
      </c>
      <c r="C2" s="161" t="s">
        <v>833</v>
      </c>
      <c r="D2" s="161" t="s">
        <v>832</v>
      </c>
      <c r="E2" s="161" t="s">
        <v>791</v>
      </c>
      <c r="F2" s="161" t="s">
        <v>52</v>
      </c>
      <c r="H2" s="155">
        <f>SUM(H3:H74)</f>
        <v>219300</v>
      </c>
      <c r="I2" s="155">
        <f>SUM(I3:I74)</f>
        <v>27682</v>
      </c>
      <c r="J2" s="155">
        <f>SUM(J3:J74)</f>
        <v>225582</v>
      </c>
      <c r="L2" s="155">
        <f>SUM(L3:L74)</f>
        <v>0</v>
      </c>
      <c r="M2" s="155">
        <f>SUM(M3:M74)</f>
        <v>0</v>
      </c>
      <c r="N2" s="155">
        <f>SUM(N3:N74)</f>
        <v>0</v>
      </c>
    </row>
    <row r="3" spans="1:16">
      <c r="A3" s="159" t="s">
        <v>772</v>
      </c>
      <c r="B3" s="159">
        <v>59155</v>
      </c>
      <c r="C3" s="161"/>
      <c r="D3" s="161"/>
      <c r="E3" s="161"/>
      <c r="F3" s="21"/>
      <c r="H3" s="17">
        <v>5000</v>
      </c>
      <c r="I3" s="17">
        <v>17500</v>
      </c>
      <c r="J3" s="17">
        <v>1000</v>
      </c>
      <c r="L3" s="17"/>
      <c r="M3" s="17"/>
      <c r="N3" s="17"/>
    </row>
    <row r="4" spans="1:16">
      <c r="A4" s="149">
        <v>44652</v>
      </c>
      <c r="B4" s="17">
        <f>H2</f>
        <v>219300</v>
      </c>
      <c r="C4" s="17">
        <f>I2</f>
        <v>27682</v>
      </c>
      <c r="D4" s="17">
        <v>197900</v>
      </c>
      <c r="E4" s="17">
        <f>J2</f>
        <v>225582</v>
      </c>
      <c r="F4" s="17"/>
      <c r="H4" s="17">
        <v>1000</v>
      </c>
      <c r="I4" s="17">
        <v>100</v>
      </c>
      <c r="J4" s="17">
        <v>2000</v>
      </c>
      <c r="L4" s="17"/>
      <c r="M4" s="17"/>
      <c r="N4" s="17"/>
    </row>
    <row r="5" spans="1:16">
      <c r="A5" s="149">
        <v>44682</v>
      </c>
      <c r="B5" s="17">
        <v>136100</v>
      </c>
      <c r="C5" s="17">
        <v>5230</v>
      </c>
      <c r="D5" s="17">
        <v>97400</v>
      </c>
      <c r="E5" s="17">
        <f>C5+D5</f>
        <v>102630</v>
      </c>
      <c r="F5" s="17"/>
      <c r="H5" s="17">
        <v>3000</v>
      </c>
      <c r="I5" s="17">
        <v>50</v>
      </c>
      <c r="J5" s="17">
        <v>500</v>
      </c>
      <c r="L5" s="17"/>
      <c r="M5" s="17"/>
      <c r="N5" s="17"/>
    </row>
    <row r="6" spans="1:16">
      <c r="A6" s="149">
        <v>44713</v>
      </c>
      <c r="B6" s="17">
        <v>74800</v>
      </c>
      <c r="C6" s="17">
        <v>21534</v>
      </c>
      <c r="D6" s="17">
        <v>8980</v>
      </c>
      <c r="E6" s="17">
        <f t="shared" ref="E6:E15" si="0">C6+D6</f>
        <v>30514</v>
      </c>
      <c r="F6" s="17"/>
      <c r="H6" s="17">
        <v>1000</v>
      </c>
      <c r="I6" s="17">
        <v>1000</v>
      </c>
      <c r="J6" s="17">
        <v>17500</v>
      </c>
      <c r="L6" s="17"/>
      <c r="M6" s="17"/>
      <c r="N6" s="17"/>
    </row>
    <row r="7" spans="1:16">
      <c r="A7" s="149">
        <v>44743</v>
      </c>
      <c r="B7" s="17">
        <v>153200</v>
      </c>
      <c r="C7" s="17">
        <v>79880</v>
      </c>
      <c r="D7" s="17">
        <v>178800</v>
      </c>
      <c r="E7" s="17">
        <f t="shared" si="0"/>
        <v>258680</v>
      </c>
      <c r="F7" s="17"/>
      <c r="H7" s="17">
        <v>1000</v>
      </c>
      <c r="I7" s="17">
        <v>1700</v>
      </c>
      <c r="J7" s="17">
        <v>20000</v>
      </c>
      <c r="L7" s="17"/>
      <c r="M7" s="17"/>
      <c r="N7" s="17"/>
    </row>
    <row r="8" spans="1:16">
      <c r="A8" s="149">
        <v>44774</v>
      </c>
      <c r="B8" s="17">
        <v>421130</v>
      </c>
      <c r="C8" s="17">
        <v>45767</v>
      </c>
      <c r="D8" s="17">
        <f>244300+41250</f>
        <v>285550</v>
      </c>
      <c r="E8" s="17">
        <f>C8+D8</f>
        <v>331317</v>
      </c>
      <c r="F8" s="17" t="s">
        <v>1221</v>
      </c>
      <c r="H8" s="17">
        <v>1000</v>
      </c>
      <c r="I8" s="17">
        <v>250</v>
      </c>
      <c r="J8" s="17">
        <v>100</v>
      </c>
      <c r="L8" s="17"/>
      <c r="M8" s="17"/>
      <c r="N8" s="17"/>
      <c r="P8">
        <f>C8-41250</f>
        <v>4517</v>
      </c>
    </row>
    <row r="9" spans="1:16">
      <c r="A9" s="149">
        <v>44805</v>
      </c>
      <c r="B9" s="17">
        <v>237500</v>
      </c>
      <c r="C9" s="17">
        <v>53654</v>
      </c>
      <c r="D9" s="17">
        <v>183230</v>
      </c>
      <c r="E9" s="17">
        <f t="shared" si="0"/>
        <v>236884</v>
      </c>
      <c r="F9" s="17" t="s">
        <v>1236</v>
      </c>
      <c r="H9" s="17">
        <v>3000</v>
      </c>
      <c r="I9" s="17">
        <v>400</v>
      </c>
      <c r="J9" s="17">
        <v>50</v>
      </c>
      <c r="L9" s="17"/>
      <c r="M9" s="17"/>
      <c r="N9" s="17"/>
    </row>
    <row r="10" spans="1:16">
      <c r="A10" s="149">
        <v>44835</v>
      </c>
      <c r="B10" s="17"/>
      <c r="C10" s="17"/>
      <c r="D10" s="17"/>
      <c r="E10" s="17">
        <f t="shared" si="0"/>
        <v>0</v>
      </c>
      <c r="F10" s="17"/>
      <c r="H10" s="17">
        <v>5000</v>
      </c>
      <c r="I10" s="17">
        <v>200</v>
      </c>
      <c r="J10" s="17">
        <v>1000</v>
      </c>
      <c r="L10" s="17"/>
      <c r="M10" s="17"/>
      <c r="N10" s="17"/>
    </row>
    <row r="11" spans="1:16">
      <c r="A11" s="149">
        <v>44866</v>
      </c>
      <c r="B11" s="17"/>
      <c r="C11" s="17"/>
      <c r="D11" s="17"/>
      <c r="E11" s="17">
        <f t="shared" si="0"/>
        <v>0</v>
      </c>
      <c r="F11" s="17"/>
      <c r="H11" s="17">
        <v>9000</v>
      </c>
      <c r="I11" s="17">
        <v>275</v>
      </c>
      <c r="J11" s="17">
        <v>1700</v>
      </c>
      <c r="L11" s="17"/>
      <c r="M11" s="17"/>
      <c r="N11" s="17"/>
    </row>
    <row r="12" spans="1:16">
      <c r="A12" s="149">
        <v>44896</v>
      </c>
      <c r="B12" s="17"/>
      <c r="C12" s="17"/>
      <c r="D12" s="17"/>
      <c r="E12" s="17">
        <f t="shared" si="0"/>
        <v>0</v>
      </c>
      <c r="F12" s="17"/>
      <c r="H12" s="17">
        <v>9000</v>
      </c>
      <c r="I12" s="17">
        <v>150</v>
      </c>
      <c r="J12" s="17">
        <v>800</v>
      </c>
      <c r="L12" s="17"/>
      <c r="M12" s="17"/>
      <c r="N12" s="17"/>
    </row>
    <row r="13" spans="1:16">
      <c r="A13" s="149">
        <v>44927</v>
      </c>
      <c r="B13" s="17"/>
      <c r="C13" s="17"/>
      <c r="D13" s="17"/>
      <c r="E13" s="17">
        <f t="shared" si="0"/>
        <v>0</v>
      </c>
      <c r="F13" s="17"/>
      <c r="H13" s="17">
        <v>3000</v>
      </c>
      <c r="I13" s="17">
        <v>380</v>
      </c>
      <c r="J13" s="17">
        <v>20000</v>
      </c>
      <c r="L13" s="17"/>
      <c r="M13" s="17"/>
      <c r="N13" s="17"/>
    </row>
    <row r="14" spans="1:16">
      <c r="A14" s="149">
        <v>44958</v>
      </c>
      <c r="B14" s="17">
        <v>106900</v>
      </c>
      <c r="C14" s="17">
        <v>24929</v>
      </c>
      <c r="D14" s="17"/>
      <c r="E14" s="17">
        <f t="shared" si="0"/>
        <v>24929</v>
      </c>
      <c r="F14" s="17"/>
      <c r="H14" s="17">
        <v>3000</v>
      </c>
      <c r="I14" s="17">
        <v>500</v>
      </c>
      <c r="J14" s="17">
        <v>5000</v>
      </c>
      <c r="L14" s="17"/>
      <c r="M14" s="17"/>
      <c r="N14" s="17"/>
    </row>
    <row r="15" spans="1:16">
      <c r="A15" s="149">
        <v>44986</v>
      </c>
      <c r="B15" s="17"/>
      <c r="C15" s="17"/>
      <c r="D15" s="17"/>
      <c r="E15" s="17">
        <f t="shared" si="0"/>
        <v>0</v>
      </c>
      <c r="F15" s="17"/>
      <c r="H15" s="17">
        <v>5000</v>
      </c>
      <c r="I15" s="17">
        <v>157</v>
      </c>
      <c r="J15" s="17">
        <v>250</v>
      </c>
      <c r="L15" s="17"/>
      <c r="M15" s="17"/>
      <c r="N15" s="17"/>
    </row>
    <row r="16" spans="1:16">
      <c r="A16" s="107" t="s">
        <v>19</v>
      </c>
      <c r="B16" s="107">
        <f>SUM(B3:B15)</f>
        <v>1408085</v>
      </c>
      <c r="C16" s="107">
        <f>SUM(C4:C15)</f>
        <v>258676</v>
      </c>
      <c r="D16" s="107">
        <f>SUM(D4:D15)</f>
        <v>951860</v>
      </c>
      <c r="E16" s="107">
        <f>SUM(E4:E15)</f>
        <v>1210536</v>
      </c>
      <c r="F16" s="107">
        <f>B16-C16</f>
        <v>1149409</v>
      </c>
      <c r="H16" s="17">
        <v>7500</v>
      </c>
      <c r="I16" s="17">
        <v>50</v>
      </c>
      <c r="J16" s="17">
        <v>400</v>
      </c>
      <c r="L16" s="17"/>
      <c r="M16" s="17"/>
      <c r="N16" s="17"/>
    </row>
    <row r="17" spans="8:14">
      <c r="H17" s="17">
        <v>1500</v>
      </c>
      <c r="I17" s="17">
        <v>50</v>
      </c>
      <c r="J17" s="17">
        <v>200</v>
      </c>
      <c r="L17" s="17"/>
      <c r="M17" s="17"/>
      <c r="N17" s="17"/>
    </row>
    <row r="18" spans="8:14">
      <c r="H18" s="17">
        <v>1500</v>
      </c>
      <c r="I18" s="17">
        <v>120</v>
      </c>
      <c r="J18" s="17">
        <v>275</v>
      </c>
      <c r="L18" s="17"/>
      <c r="M18" s="17"/>
      <c r="N18" s="17"/>
    </row>
    <row r="19" spans="8:14">
      <c r="H19" s="17">
        <v>1500</v>
      </c>
      <c r="I19" s="17">
        <v>100</v>
      </c>
      <c r="J19" s="17">
        <v>150</v>
      </c>
      <c r="L19" s="17"/>
      <c r="M19" s="17"/>
      <c r="N19" s="17"/>
    </row>
    <row r="20" spans="8:14">
      <c r="H20" s="17">
        <v>4000</v>
      </c>
      <c r="I20" s="17">
        <v>1000</v>
      </c>
      <c r="J20" s="17">
        <v>380</v>
      </c>
      <c r="L20" s="17"/>
      <c r="M20" s="17"/>
      <c r="N20" s="17"/>
    </row>
    <row r="21" spans="8:14">
      <c r="H21" s="17">
        <v>7300</v>
      </c>
      <c r="I21" s="17">
        <v>2500</v>
      </c>
      <c r="J21" s="17">
        <v>12000</v>
      </c>
      <c r="L21" s="17"/>
      <c r="M21" s="17"/>
      <c r="N21" s="17"/>
    </row>
    <row r="22" spans="8:14">
      <c r="H22" s="17">
        <v>1100</v>
      </c>
      <c r="I22" s="17">
        <v>100</v>
      </c>
      <c r="J22" s="17">
        <v>9000</v>
      </c>
      <c r="L22" s="17"/>
      <c r="M22" s="17"/>
      <c r="N22" s="17"/>
    </row>
    <row r="23" spans="8:14">
      <c r="H23" s="17">
        <v>3000</v>
      </c>
      <c r="I23" s="17">
        <v>1000</v>
      </c>
      <c r="J23" s="17">
        <v>500</v>
      </c>
      <c r="L23" s="17"/>
      <c r="M23" s="17"/>
      <c r="N23" s="17"/>
    </row>
    <row r="24" spans="8:14">
      <c r="H24" s="17">
        <v>3000</v>
      </c>
      <c r="I24" s="17">
        <v>100</v>
      </c>
      <c r="J24" s="17">
        <v>500</v>
      </c>
      <c r="L24" s="17"/>
      <c r="M24" s="17"/>
      <c r="N24" s="17"/>
    </row>
    <row r="25" spans="8:14">
      <c r="H25" s="17">
        <v>2000</v>
      </c>
      <c r="I25" s="17"/>
      <c r="J25" s="17">
        <v>157</v>
      </c>
      <c r="L25" s="17"/>
      <c r="M25" s="17"/>
      <c r="N25" s="17"/>
    </row>
    <row r="26" spans="8:14">
      <c r="H26" s="17">
        <v>3000</v>
      </c>
      <c r="I26" s="17"/>
      <c r="J26" s="17">
        <v>50</v>
      </c>
      <c r="L26" s="17"/>
      <c r="M26" s="17"/>
      <c r="N26" s="17"/>
    </row>
    <row r="27" spans="8:14">
      <c r="H27" s="17">
        <v>5000</v>
      </c>
      <c r="I27" s="17"/>
      <c r="J27" s="17">
        <v>50</v>
      </c>
      <c r="L27" s="17"/>
      <c r="M27" s="17"/>
      <c r="N27" s="17"/>
    </row>
    <row r="28" spans="8:14">
      <c r="H28" s="17">
        <v>2000</v>
      </c>
      <c r="I28" s="17"/>
      <c r="J28" s="17">
        <v>120</v>
      </c>
      <c r="L28" s="17"/>
      <c r="M28" s="17"/>
      <c r="N28" s="17"/>
    </row>
    <row r="29" spans="8:14">
      <c r="H29" s="17">
        <v>1100</v>
      </c>
      <c r="I29" s="17"/>
      <c r="J29" s="17">
        <v>1500</v>
      </c>
      <c r="L29" s="17"/>
      <c r="M29" s="17"/>
      <c r="N29" s="17"/>
    </row>
    <row r="30" spans="8:14">
      <c r="H30" s="17">
        <v>1100</v>
      </c>
      <c r="I30" s="17"/>
      <c r="J30" s="17">
        <v>100</v>
      </c>
      <c r="L30" s="17"/>
      <c r="M30" s="17"/>
      <c r="N30" s="17"/>
    </row>
    <row r="31" spans="8:14">
      <c r="H31" s="17">
        <v>2800</v>
      </c>
      <c r="I31" s="17"/>
      <c r="J31" s="17">
        <v>400</v>
      </c>
      <c r="L31" s="17"/>
      <c r="M31" s="17"/>
      <c r="N31" s="17"/>
    </row>
    <row r="32" spans="8:14">
      <c r="H32" s="17">
        <v>6200</v>
      </c>
      <c r="I32" s="17"/>
      <c r="J32" s="17">
        <v>5000</v>
      </c>
      <c r="L32" s="17"/>
      <c r="M32" s="17"/>
      <c r="N32" s="17"/>
    </row>
    <row r="33" spans="8:14">
      <c r="H33" s="17">
        <v>1100</v>
      </c>
      <c r="I33" s="17"/>
      <c r="J33" s="17">
        <v>500</v>
      </c>
      <c r="L33" s="17"/>
      <c r="M33" s="17"/>
      <c r="N33" s="17"/>
    </row>
    <row r="34" spans="8:14">
      <c r="H34" s="17">
        <v>10000</v>
      </c>
      <c r="I34" s="17"/>
      <c r="J34" s="17">
        <v>1000</v>
      </c>
      <c r="L34" s="17"/>
      <c r="M34" s="17"/>
      <c r="N34" s="17"/>
    </row>
    <row r="35" spans="8:14">
      <c r="H35" s="17">
        <v>4000</v>
      </c>
      <c r="I35" s="17"/>
      <c r="J35" s="17">
        <v>500</v>
      </c>
      <c r="L35" s="17"/>
      <c r="M35" s="17"/>
      <c r="N35" s="17"/>
    </row>
    <row r="36" spans="8:14">
      <c r="H36" s="17">
        <v>17000</v>
      </c>
      <c r="I36" s="17"/>
      <c r="J36" s="17">
        <v>10000</v>
      </c>
      <c r="L36" s="17"/>
      <c r="M36" s="17"/>
      <c r="N36" s="17"/>
    </row>
    <row r="37" spans="8:14">
      <c r="H37" s="17">
        <v>1000</v>
      </c>
      <c r="I37" s="17"/>
      <c r="J37" s="17">
        <v>5000</v>
      </c>
      <c r="L37" s="17"/>
      <c r="M37" s="17"/>
      <c r="N37" s="17"/>
    </row>
    <row r="38" spans="8:14">
      <c r="H38" s="17">
        <v>1000</v>
      </c>
      <c r="I38" s="17"/>
      <c r="J38" s="17">
        <v>30000</v>
      </c>
      <c r="L38" s="17"/>
      <c r="M38" s="17"/>
      <c r="N38" s="17"/>
    </row>
    <row r="39" spans="8:14">
      <c r="H39" s="17">
        <v>5000</v>
      </c>
      <c r="I39" s="17"/>
      <c r="J39" s="17">
        <v>10000</v>
      </c>
      <c r="L39" s="17"/>
      <c r="M39" s="17"/>
      <c r="N39" s="17"/>
    </row>
    <row r="40" spans="8:14">
      <c r="H40" s="17">
        <v>1400</v>
      </c>
      <c r="I40" s="17"/>
      <c r="J40" s="17">
        <v>2500</v>
      </c>
      <c r="L40" s="17"/>
      <c r="M40" s="17"/>
      <c r="N40" s="17"/>
    </row>
    <row r="41" spans="8:14">
      <c r="H41" s="17">
        <v>600</v>
      </c>
      <c r="I41" s="17"/>
      <c r="J41" s="17">
        <v>1000</v>
      </c>
      <c r="L41" s="17"/>
      <c r="M41" s="17"/>
      <c r="N41" s="17"/>
    </row>
    <row r="42" spans="8:14">
      <c r="H42" s="17">
        <v>5000</v>
      </c>
      <c r="I42" s="17"/>
      <c r="J42" s="17">
        <v>10000</v>
      </c>
      <c r="L42" s="17"/>
      <c r="M42" s="17"/>
      <c r="N42" s="17"/>
    </row>
    <row r="43" spans="8:14">
      <c r="H43" s="17">
        <v>5000</v>
      </c>
      <c r="I43" s="17"/>
      <c r="J43" s="17">
        <v>2500</v>
      </c>
      <c r="L43" s="17"/>
      <c r="M43" s="17"/>
      <c r="N43" s="17"/>
    </row>
    <row r="44" spans="8:14">
      <c r="H44" s="17">
        <v>10000</v>
      </c>
      <c r="I44" s="17"/>
      <c r="J44" s="17">
        <v>1000</v>
      </c>
      <c r="L44" s="17"/>
      <c r="M44" s="17"/>
      <c r="N44" s="17"/>
    </row>
    <row r="45" spans="8:14">
      <c r="H45" s="17">
        <v>2000</v>
      </c>
      <c r="I45" s="17"/>
      <c r="J45" s="17">
        <v>100</v>
      </c>
      <c r="L45" s="17"/>
      <c r="M45" s="17"/>
      <c r="N45" s="17"/>
    </row>
    <row r="46" spans="8:14">
      <c r="H46" s="17">
        <v>5000</v>
      </c>
      <c r="I46" s="17"/>
      <c r="J46" s="17">
        <v>1000</v>
      </c>
      <c r="L46" s="17"/>
      <c r="M46" s="17"/>
      <c r="N46" s="17"/>
    </row>
    <row r="47" spans="8:14">
      <c r="H47" s="17">
        <v>2000</v>
      </c>
      <c r="I47" s="17"/>
      <c r="J47" s="17">
        <v>100</v>
      </c>
      <c r="L47" s="17"/>
      <c r="M47" s="17"/>
      <c r="N47" s="17"/>
    </row>
    <row r="48" spans="8:14">
      <c r="H48" s="17">
        <v>10000</v>
      </c>
      <c r="I48" s="17"/>
      <c r="J48" s="17">
        <v>10100</v>
      </c>
      <c r="L48" s="17"/>
      <c r="M48" s="17"/>
      <c r="N48" s="17"/>
    </row>
    <row r="49" spans="8:14">
      <c r="H49" s="17">
        <v>10000</v>
      </c>
      <c r="I49" s="17"/>
      <c r="J49" s="17">
        <v>20000</v>
      </c>
      <c r="L49" s="17"/>
      <c r="M49" s="17"/>
      <c r="N49" s="17"/>
    </row>
    <row r="50" spans="8:14">
      <c r="H50" s="17">
        <v>5000</v>
      </c>
      <c r="I50" s="17"/>
      <c r="J50" s="17">
        <v>5000</v>
      </c>
      <c r="L50" s="17"/>
      <c r="M50" s="17"/>
      <c r="N50" s="17"/>
    </row>
    <row r="51" spans="8:14">
      <c r="H51" s="17">
        <v>5000</v>
      </c>
      <c r="I51" s="17"/>
      <c r="J51" s="17">
        <v>2000</v>
      </c>
      <c r="L51" s="17"/>
      <c r="M51" s="17"/>
      <c r="N51" s="17"/>
    </row>
    <row r="52" spans="8:14">
      <c r="H52" s="17">
        <v>9500</v>
      </c>
      <c r="I52" s="17"/>
      <c r="J52" s="17">
        <v>2000</v>
      </c>
      <c r="L52" s="17"/>
      <c r="M52" s="17"/>
      <c r="N52" s="17"/>
    </row>
    <row r="53" spans="8:14">
      <c r="H53" s="17">
        <v>2500</v>
      </c>
      <c r="I53" s="17"/>
      <c r="J53" s="17">
        <v>1000</v>
      </c>
      <c r="L53" s="17"/>
      <c r="M53" s="17"/>
      <c r="N53" s="17"/>
    </row>
    <row r="54" spans="8:14">
      <c r="H54" s="17">
        <v>4600</v>
      </c>
      <c r="I54" s="17"/>
      <c r="J54" s="17">
        <v>5000</v>
      </c>
      <c r="L54" s="17"/>
      <c r="M54" s="17"/>
      <c r="N54" s="17"/>
    </row>
    <row r="55" spans="8:14">
      <c r="H55" s="17"/>
      <c r="I55" s="17"/>
      <c r="J55" s="17">
        <v>4600</v>
      </c>
      <c r="L55" s="17"/>
      <c r="M55" s="17"/>
      <c r="N55" s="17"/>
    </row>
    <row r="56" spans="8:14">
      <c r="H56" s="17"/>
      <c r="I56" s="17"/>
      <c r="J56" s="17"/>
      <c r="L56" s="17"/>
      <c r="M56" s="17"/>
      <c r="N56" s="17"/>
    </row>
    <row r="57" spans="8:14">
      <c r="H57" s="17"/>
      <c r="I57" s="17"/>
      <c r="J57" s="17"/>
      <c r="L57" s="17"/>
      <c r="M57" s="17"/>
      <c r="N57" s="17"/>
    </row>
    <row r="58" spans="8:14">
      <c r="H58" s="17"/>
      <c r="I58" s="17"/>
      <c r="J58" s="17"/>
      <c r="L58" s="17"/>
      <c r="M58" s="17"/>
      <c r="N58" s="17"/>
    </row>
    <row r="59" spans="8:14">
      <c r="H59" s="17"/>
      <c r="I59" s="17"/>
      <c r="J59" s="17"/>
      <c r="L59" s="17"/>
      <c r="M59" s="17"/>
      <c r="N59" s="17"/>
    </row>
    <row r="60" spans="8:14">
      <c r="H60" s="17"/>
      <c r="I60" s="17"/>
      <c r="J60" s="17"/>
      <c r="L60" s="17"/>
      <c r="M60" s="17"/>
      <c r="N60" s="17"/>
    </row>
    <row r="61" spans="8:14">
      <c r="H61" s="17"/>
      <c r="I61" s="17"/>
      <c r="J61" s="17"/>
      <c r="L61" s="17"/>
      <c r="M61" s="17"/>
      <c r="N61" s="17"/>
    </row>
    <row r="62" spans="8:14">
      <c r="H62" s="17"/>
      <c r="I62" s="17"/>
      <c r="J62" s="17"/>
      <c r="L62" s="17"/>
      <c r="M62" s="17"/>
      <c r="N62" s="17"/>
    </row>
    <row r="63" spans="8:14">
      <c r="H63" s="17"/>
      <c r="I63" s="17"/>
      <c r="J63" s="17"/>
      <c r="L63" s="17"/>
      <c r="M63" s="17"/>
      <c r="N63" s="17"/>
    </row>
    <row r="64" spans="8:14">
      <c r="H64" s="17"/>
      <c r="I64" s="17"/>
      <c r="J64" s="17"/>
      <c r="L64" s="17"/>
      <c r="M64" s="17"/>
      <c r="N64" s="17"/>
    </row>
    <row r="65" spans="8:14">
      <c r="H65" s="17"/>
      <c r="I65" s="17"/>
      <c r="J65" s="17"/>
      <c r="L65" s="17"/>
      <c r="M65" s="17"/>
      <c r="N65" s="17"/>
    </row>
    <row r="66" spans="8:14">
      <c r="H66" s="17"/>
      <c r="I66" s="17"/>
      <c r="J66" s="17"/>
      <c r="L66" s="17"/>
      <c r="M66" s="17"/>
      <c r="N66" s="17"/>
    </row>
    <row r="67" spans="8:14">
      <c r="H67" s="17"/>
      <c r="I67" s="17"/>
      <c r="J67" s="17"/>
      <c r="L67" s="17"/>
      <c r="M67" s="17"/>
      <c r="N67" s="17"/>
    </row>
    <row r="68" spans="8:14">
      <c r="H68" s="17"/>
      <c r="I68" s="17"/>
      <c r="J68" s="17"/>
      <c r="L68" s="17"/>
      <c r="M68" s="17"/>
      <c r="N68" s="17"/>
    </row>
    <row r="69" spans="8:14">
      <c r="H69" s="17"/>
      <c r="I69" s="17"/>
      <c r="J69" s="17"/>
      <c r="L69" s="17"/>
      <c r="M69" s="17"/>
      <c r="N69" s="17"/>
    </row>
    <row r="70" spans="8:14">
      <c r="H70" s="17"/>
      <c r="I70" s="17"/>
      <c r="J70" s="17"/>
      <c r="L70" s="17"/>
      <c r="M70" s="17"/>
      <c r="N70" s="17"/>
    </row>
    <row r="71" spans="8:14">
      <c r="H71" s="17"/>
      <c r="I71" s="17"/>
      <c r="J71" s="17"/>
      <c r="L71" s="17"/>
      <c r="M71" s="17"/>
      <c r="N71" s="17"/>
    </row>
    <row r="72" spans="8:14">
      <c r="H72" s="17"/>
      <c r="I72" s="17"/>
      <c r="J72" s="17"/>
      <c r="L72" s="17"/>
      <c r="M72" s="17"/>
      <c r="N72" s="17"/>
    </row>
    <row r="73" spans="8:14">
      <c r="H73" s="17"/>
      <c r="I73" s="17"/>
      <c r="J73" s="17"/>
      <c r="L73" s="17"/>
      <c r="M73" s="17"/>
      <c r="N73" s="17"/>
    </row>
    <row r="74" spans="8:14">
      <c r="H74" s="17"/>
      <c r="I74" s="17"/>
      <c r="J74" s="17"/>
      <c r="L74" s="17"/>
      <c r="M74" s="17"/>
      <c r="N74" s="17"/>
    </row>
    <row r="75" spans="8:14">
      <c r="H75" s="17"/>
      <c r="I75" s="17"/>
      <c r="J75" s="17"/>
      <c r="L75" s="17"/>
      <c r="M75" s="17"/>
      <c r="N75" s="17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87"/>
  <sheetViews>
    <sheetView zoomScale="80" zoomScaleNormal="80" workbookViewId="0">
      <selection activeCell="C34" sqref="C34"/>
    </sheetView>
  </sheetViews>
  <sheetFormatPr defaultRowHeight="15"/>
  <cols>
    <col min="1" max="1" width="12.7109375" style="51" customWidth="1"/>
    <col min="3" max="4" width="15.5703125" customWidth="1"/>
    <col min="5" max="5" width="6.85546875" customWidth="1"/>
    <col min="6" max="6" width="10.7109375" style="51" customWidth="1"/>
    <col min="8" max="8" width="30.7109375" customWidth="1"/>
    <col min="9" max="9" width="1.140625" customWidth="1"/>
    <col min="10" max="10" width="10.140625" style="51" customWidth="1"/>
    <col min="11" max="11" width="10.42578125" customWidth="1"/>
    <col min="12" max="12" width="21.42578125" customWidth="1"/>
    <col min="13" max="13" width="1.7109375" customWidth="1"/>
    <col min="14" max="14" width="41.140625" bestFit="1" customWidth="1"/>
  </cols>
  <sheetData>
    <row r="1" spans="1:9" ht="19.5">
      <c r="A1" s="222" t="s">
        <v>460</v>
      </c>
      <c r="B1" s="223"/>
      <c r="C1" s="223"/>
      <c r="D1" s="223"/>
      <c r="E1" s="223"/>
      <c r="F1" s="223"/>
      <c r="G1" s="223"/>
      <c r="H1" s="223"/>
      <c r="I1" s="224"/>
    </row>
    <row r="2" spans="1:9">
      <c r="A2" s="225" t="s">
        <v>446</v>
      </c>
      <c r="B2" s="226"/>
      <c r="C2" s="226"/>
      <c r="D2" s="226"/>
      <c r="E2" s="226"/>
      <c r="F2" s="226"/>
      <c r="G2" s="227"/>
      <c r="H2" s="34">
        <f>B4+G4+B49</f>
        <v>23830</v>
      </c>
      <c r="I2" s="17"/>
    </row>
    <row r="3" spans="1:9">
      <c r="A3" s="228" t="s">
        <v>445</v>
      </c>
      <c r="B3" s="229"/>
      <c r="C3" s="230"/>
      <c r="D3" s="16"/>
      <c r="E3" s="52"/>
      <c r="F3" s="84" t="s">
        <v>444</v>
      </c>
      <c r="G3" s="85"/>
      <c r="H3" s="85"/>
      <c r="I3" s="52"/>
    </row>
    <row r="4" spans="1:9">
      <c r="A4" s="49" t="s">
        <v>31</v>
      </c>
      <c r="B4" s="34">
        <f>SUM(B6:B42)</f>
        <v>23830</v>
      </c>
      <c r="C4" s="16"/>
      <c r="D4" s="16"/>
      <c r="E4" s="52"/>
      <c r="F4" s="49" t="s">
        <v>31</v>
      </c>
      <c r="G4" s="34">
        <f>SUM(G6:G42)</f>
        <v>0</v>
      </c>
      <c r="H4" s="16"/>
      <c r="I4" s="52"/>
    </row>
    <row r="5" spans="1:9">
      <c r="A5" s="49" t="s">
        <v>16</v>
      </c>
      <c r="B5" s="16" t="s">
        <v>17</v>
      </c>
      <c r="C5" s="16" t="s">
        <v>443</v>
      </c>
      <c r="D5" s="16" t="s">
        <v>1151</v>
      </c>
      <c r="E5" s="52"/>
      <c r="F5" s="49" t="s">
        <v>16</v>
      </c>
      <c r="G5" s="16" t="s">
        <v>17</v>
      </c>
      <c r="H5" s="16" t="s">
        <v>443</v>
      </c>
      <c r="I5" s="52"/>
    </row>
    <row r="6" spans="1:9">
      <c r="A6" s="50"/>
      <c r="B6" s="17"/>
      <c r="C6" s="17"/>
      <c r="D6" s="17"/>
      <c r="E6" s="52"/>
      <c r="F6" s="50"/>
      <c r="G6" s="17"/>
      <c r="H6" s="17"/>
      <c r="I6" s="52"/>
    </row>
    <row r="7" spans="1:9">
      <c r="A7" s="50"/>
      <c r="B7" s="17"/>
      <c r="C7" s="17"/>
      <c r="D7" s="17"/>
      <c r="E7" s="52"/>
      <c r="F7" s="50"/>
      <c r="G7" s="17"/>
      <c r="H7" s="17"/>
      <c r="I7" s="52"/>
    </row>
    <row r="8" spans="1:9">
      <c r="A8" s="50"/>
      <c r="B8" s="17"/>
      <c r="C8" s="17"/>
      <c r="D8" s="17"/>
      <c r="E8" s="52"/>
      <c r="F8" s="50"/>
      <c r="G8" s="17"/>
      <c r="H8" s="17"/>
      <c r="I8" s="52"/>
    </row>
    <row r="9" spans="1:9">
      <c r="B9" s="17"/>
      <c r="C9" s="17"/>
      <c r="D9" s="17"/>
      <c r="E9" s="52"/>
      <c r="F9" s="50"/>
      <c r="G9" s="17"/>
      <c r="H9" s="17"/>
      <c r="I9" s="52"/>
    </row>
    <row r="10" spans="1:9">
      <c r="A10" s="50"/>
      <c r="B10" s="17"/>
      <c r="C10" s="17"/>
      <c r="D10" s="17"/>
      <c r="E10" s="52"/>
      <c r="F10" s="50"/>
      <c r="G10" s="33"/>
      <c r="H10" s="17"/>
      <c r="I10" s="52"/>
    </row>
    <row r="11" spans="1:9">
      <c r="A11" s="50"/>
      <c r="B11" s="17"/>
      <c r="C11" s="17"/>
      <c r="D11" s="17"/>
      <c r="E11" s="52"/>
      <c r="F11" s="50"/>
      <c r="G11" s="17"/>
      <c r="H11" s="22"/>
      <c r="I11" s="52"/>
    </row>
    <row r="12" spans="1:9">
      <c r="A12" s="50"/>
      <c r="B12" s="17"/>
      <c r="C12" s="17"/>
      <c r="D12" s="17"/>
      <c r="E12" s="52"/>
      <c r="F12" s="50"/>
      <c r="G12" s="17"/>
      <c r="H12" s="17"/>
      <c r="I12" s="52"/>
    </row>
    <row r="13" spans="1:9">
      <c r="A13" s="50"/>
      <c r="B13" s="17"/>
      <c r="C13" s="17"/>
      <c r="D13" s="17"/>
      <c r="E13" s="52"/>
      <c r="F13" s="50"/>
      <c r="G13" s="17"/>
      <c r="H13" s="17"/>
      <c r="I13" s="52"/>
    </row>
    <row r="14" spans="1:9">
      <c r="A14" s="50"/>
      <c r="B14" s="17"/>
      <c r="C14" s="17"/>
      <c r="D14" s="17"/>
      <c r="E14" s="52"/>
      <c r="F14" s="50"/>
      <c r="G14" s="17"/>
      <c r="H14" s="17"/>
      <c r="I14" s="52"/>
    </row>
    <row r="15" spans="1:9">
      <c r="A15" s="50"/>
      <c r="B15" s="17"/>
      <c r="C15" s="17"/>
      <c r="D15" s="17"/>
      <c r="E15" s="52"/>
      <c r="F15" s="50"/>
      <c r="G15" s="17"/>
      <c r="H15" s="17"/>
      <c r="I15" s="52"/>
    </row>
    <row r="16" spans="1:9">
      <c r="A16" s="50"/>
      <c r="B16" s="17"/>
      <c r="C16" s="17"/>
      <c r="D16" s="17"/>
      <c r="E16" s="52"/>
      <c r="F16" s="50"/>
      <c r="G16" s="17"/>
      <c r="H16" s="17"/>
      <c r="I16" s="52"/>
    </row>
    <row r="17" spans="1:9">
      <c r="A17" s="50"/>
      <c r="B17" s="17"/>
      <c r="C17" s="17"/>
      <c r="D17" s="17"/>
      <c r="E17" s="52"/>
      <c r="F17" s="50"/>
      <c r="G17" s="17"/>
      <c r="H17" s="17"/>
      <c r="I17" s="52"/>
    </row>
    <row r="18" spans="1:9">
      <c r="A18" s="306">
        <v>44963</v>
      </c>
      <c r="B18" s="207">
        <v>1100</v>
      </c>
      <c r="C18" s="207" t="s">
        <v>1156</v>
      </c>
      <c r="D18" s="243">
        <v>4</v>
      </c>
      <c r="E18" s="52"/>
      <c r="F18" s="50"/>
      <c r="G18" s="17"/>
      <c r="H18" s="17"/>
      <c r="I18" s="52"/>
    </row>
    <row r="19" spans="1:9">
      <c r="A19" s="306">
        <v>44964</v>
      </c>
      <c r="B19" s="207">
        <v>2500</v>
      </c>
      <c r="C19" s="207" t="s">
        <v>1157</v>
      </c>
      <c r="D19" s="243">
        <v>5</v>
      </c>
      <c r="E19" s="52"/>
      <c r="F19" s="50"/>
      <c r="G19" s="17"/>
      <c r="H19" s="17"/>
      <c r="I19" s="52"/>
    </row>
    <row r="20" spans="1:9">
      <c r="A20" s="306">
        <v>44974</v>
      </c>
      <c r="B20" s="207">
        <v>3000</v>
      </c>
      <c r="C20" s="207" t="s">
        <v>1197</v>
      </c>
      <c r="D20" s="243">
        <v>44</v>
      </c>
      <c r="E20" s="52"/>
      <c r="F20" s="50"/>
      <c r="G20" s="17"/>
      <c r="H20" s="17"/>
      <c r="I20" s="52"/>
    </row>
    <row r="21" spans="1:9">
      <c r="A21" s="245">
        <v>44803</v>
      </c>
      <c r="B21" s="212">
        <v>2630</v>
      </c>
      <c r="C21" s="212" t="s">
        <v>1222</v>
      </c>
      <c r="D21" s="231">
        <v>74</v>
      </c>
      <c r="E21" s="52"/>
      <c r="F21" s="53"/>
      <c r="G21" s="54"/>
      <c r="H21" s="54"/>
      <c r="I21" s="52"/>
    </row>
    <row r="22" spans="1:9">
      <c r="A22" s="211">
        <v>44711</v>
      </c>
      <c r="B22" s="212">
        <v>1600</v>
      </c>
      <c r="C22" s="212" t="s">
        <v>1223</v>
      </c>
      <c r="D22" s="231">
        <v>71</v>
      </c>
      <c r="E22" s="52"/>
      <c r="F22" s="50"/>
      <c r="G22" s="17"/>
      <c r="H22" s="17"/>
      <c r="I22" s="55"/>
    </row>
    <row r="23" spans="1:9">
      <c r="A23" s="211">
        <v>44742</v>
      </c>
      <c r="B23" s="212">
        <v>4000</v>
      </c>
      <c r="C23" s="212" t="s">
        <v>1224</v>
      </c>
      <c r="D23" s="231">
        <v>72</v>
      </c>
      <c r="E23" s="55"/>
      <c r="F23" s="50"/>
      <c r="G23" s="17"/>
      <c r="H23" s="17"/>
      <c r="I23" s="55"/>
    </row>
    <row r="24" spans="1:9">
      <c r="A24" s="211">
        <v>44772</v>
      </c>
      <c r="B24" s="212">
        <v>8000</v>
      </c>
      <c r="C24" s="212" t="s">
        <v>1224</v>
      </c>
      <c r="D24" s="231">
        <v>73</v>
      </c>
      <c r="E24" s="55"/>
      <c r="F24" s="50"/>
      <c r="G24" s="17"/>
      <c r="H24" s="17"/>
      <c r="I24" s="55"/>
    </row>
    <row r="25" spans="1:9">
      <c r="A25" s="245">
        <v>44834</v>
      </c>
      <c r="B25" s="212">
        <v>1000</v>
      </c>
      <c r="C25" s="212" t="s">
        <v>1224</v>
      </c>
      <c r="D25" s="231">
        <v>75</v>
      </c>
      <c r="E25" s="55"/>
      <c r="F25" s="50"/>
      <c r="G25" s="17"/>
      <c r="H25" s="17"/>
      <c r="I25" s="55"/>
    </row>
    <row r="26" spans="1:9">
      <c r="A26" s="50"/>
      <c r="B26" s="17"/>
      <c r="C26" s="17"/>
      <c r="D26" s="17"/>
      <c r="E26" s="55"/>
      <c r="F26" s="50"/>
      <c r="G26" s="17"/>
      <c r="H26" s="17"/>
      <c r="I26" s="55"/>
    </row>
    <row r="27" spans="1:9">
      <c r="A27" s="50"/>
      <c r="B27" s="17"/>
      <c r="C27" s="17"/>
      <c r="D27" s="17"/>
      <c r="E27" s="55"/>
      <c r="F27" s="50"/>
      <c r="G27" s="17"/>
      <c r="H27" s="17"/>
      <c r="I27" s="55"/>
    </row>
    <row r="28" spans="1:9">
      <c r="A28" s="50"/>
      <c r="B28" s="17"/>
      <c r="C28" s="17"/>
      <c r="D28" s="17"/>
      <c r="E28" s="55"/>
      <c r="F28" s="50"/>
      <c r="G28" s="17"/>
      <c r="H28" s="17"/>
      <c r="I28" s="55"/>
    </row>
    <row r="29" spans="1:9">
      <c r="A29" s="50"/>
      <c r="B29" s="17"/>
      <c r="C29" s="17"/>
      <c r="D29" s="17"/>
      <c r="E29" s="55"/>
      <c r="F29" s="50"/>
      <c r="G29" s="17"/>
      <c r="H29" s="17"/>
      <c r="I29" s="55"/>
    </row>
    <row r="30" spans="1:9">
      <c r="A30" s="50"/>
      <c r="B30" s="17"/>
      <c r="C30" s="17"/>
      <c r="D30" s="17"/>
      <c r="E30" s="55"/>
      <c r="F30" s="50"/>
      <c r="G30" s="17"/>
      <c r="H30" s="17"/>
      <c r="I30" s="55"/>
    </row>
    <row r="31" spans="1:9">
      <c r="A31" s="50"/>
      <c r="B31" s="17"/>
      <c r="C31" s="17"/>
      <c r="D31" s="17"/>
      <c r="E31" s="55"/>
      <c r="F31" s="50"/>
      <c r="G31" s="17"/>
      <c r="H31" s="17"/>
      <c r="I31" s="55"/>
    </row>
    <row r="32" spans="1:9">
      <c r="A32" s="50"/>
      <c r="B32" s="17"/>
      <c r="C32" s="17"/>
      <c r="D32" s="17"/>
      <c r="E32" s="55"/>
      <c r="F32" s="50"/>
      <c r="G32" s="17"/>
      <c r="H32" s="17"/>
      <c r="I32" s="55"/>
    </row>
    <row r="33" spans="1:9">
      <c r="A33" s="50"/>
      <c r="B33" s="17"/>
      <c r="C33" s="17"/>
      <c r="D33" s="17"/>
      <c r="E33" s="55"/>
      <c r="F33" s="50"/>
      <c r="G33" s="17"/>
      <c r="H33" s="17"/>
      <c r="I33" s="55"/>
    </row>
    <row r="34" spans="1:9">
      <c r="A34" s="50"/>
      <c r="B34" s="17"/>
      <c r="C34" s="17"/>
      <c r="D34" s="17"/>
      <c r="E34" s="55"/>
      <c r="F34" s="50"/>
      <c r="G34" s="17"/>
      <c r="H34" s="17"/>
      <c r="I34" s="55"/>
    </row>
    <row r="35" spans="1:9">
      <c r="A35" s="50"/>
      <c r="B35" s="17"/>
      <c r="C35" s="17"/>
      <c r="D35" s="17"/>
      <c r="E35" s="55"/>
      <c r="F35" s="50"/>
      <c r="G35" s="17"/>
      <c r="H35" s="17"/>
      <c r="I35" s="55"/>
    </row>
    <row r="36" spans="1:9">
      <c r="A36" s="50"/>
      <c r="B36" s="17"/>
      <c r="C36" s="17"/>
      <c r="D36" s="17"/>
      <c r="E36" s="55"/>
      <c r="F36" s="50"/>
      <c r="G36" s="17"/>
      <c r="H36" s="17"/>
      <c r="I36" s="55"/>
    </row>
    <row r="37" spans="1:9">
      <c r="A37" s="50"/>
      <c r="B37" s="17"/>
      <c r="C37" s="17"/>
      <c r="D37" s="17"/>
      <c r="E37" s="55"/>
      <c r="F37" s="50"/>
      <c r="G37" s="17"/>
      <c r="H37" s="17"/>
      <c r="I37" s="55"/>
    </row>
    <row r="38" spans="1:9">
      <c r="A38" s="50"/>
      <c r="B38" s="17"/>
      <c r="C38" s="17"/>
      <c r="D38" s="17"/>
      <c r="E38" s="55"/>
      <c r="F38" s="50"/>
      <c r="G38" s="17"/>
      <c r="H38" s="17"/>
      <c r="I38" s="55"/>
    </row>
    <row r="39" spans="1:9">
      <c r="A39" s="50"/>
      <c r="B39" s="17"/>
      <c r="C39" s="17"/>
      <c r="D39" s="17"/>
      <c r="E39" s="55"/>
      <c r="F39" s="50"/>
      <c r="G39" s="17"/>
      <c r="H39" s="17"/>
      <c r="I39" s="55"/>
    </row>
    <row r="40" spans="1:9">
      <c r="A40" s="50"/>
      <c r="B40" s="17"/>
      <c r="C40" s="17"/>
      <c r="D40" s="17"/>
      <c r="E40" s="55"/>
      <c r="F40" s="50"/>
      <c r="G40" s="17"/>
      <c r="H40" s="17"/>
      <c r="I40" s="55"/>
    </row>
    <row r="41" spans="1:9">
      <c r="A41" s="50"/>
      <c r="B41" s="17"/>
      <c r="C41" s="17"/>
      <c r="D41" s="17"/>
      <c r="E41" s="55"/>
      <c r="F41" s="50"/>
      <c r="G41" s="17"/>
      <c r="H41" s="17"/>
      <c r="I41" s="55"/>
    </row>
    <row r="42" spans="1:9">
      <c r="A42" s="50"/>
      <c r="B42" s="17"/>
      <c r="C42" s="17"/>
      <c r="D42" s="17"/>
      <c r="E42" s="55"/>
      <c r="F42" s="50"/>
      <c r="G42" s="17"/>
      <c r="H42" s="17"/>
      <c r="I42" s="55"/>
    </row>
    <row r="47" spans="1:9" ht="19.5">
      <c r="A47" s="271" t="s">
        <v>461</v>
      </c>
      <c r="B47" s="272"/>
      <c r="C47" s="272"/>
      <c r="D47" s="272"/>
      <c r="E47" s="272"/>
      <c r="F47" s="272"/>
      <c r="G47" s="272"/>
      <c r="H47" s="272"/>
      <c r="I47" s="273"/>
    </row>
    <row r="48" spans="1:9">
      <c r="A48" s="49" t="s">
        <v>459</v>
      </c>
      <c r="B48" s="16"/>
      <c r="C48" s="16"/>
      <c r="D48" s="16"/>
      <c r="E48" s="55"/>
      <c r="F48" s="50"/>
      <c r="G48" s="17"/>
      <c r="H48" s="17"/>
      <c r="I48" s="17"/>
    </row>
    <row r="49" spans="1:9">
      <c r="A49" s="49" t="s">
        <v>31</v>
      </c>
      <c r="B49" s="34">
        <f>SUM(B51:B87)</f>
        <v>0</v>
      </c>
      <c r="C49" s="16"/>
      <c r="D49" s="16"/>
      <c r="E49" s="55"/>
      <c r="F49" s="50"/>
      <c r="G49" s="17"/>
      <c r="H49" s="17"/>
      <c r="I49" s="17"/>
    </row>
    <row r="50" spans="1:9">
      <c r="A50" s="49" t="s">
        <v>16</v>
      </c>
      <c r="B50" s="16" t="s">
        <v>17</v>
      </c>
      <c r="C50" s="16" t="s">
        <v>443</v>
      </c>
      <c r="D50" s="16"/>
      <c r="E50" s="55"/>
      <c r="F50" s="50"/>
      <c r="G50" s="17"/>
      <c r="H50" s="17"/>
      <c r="I50" s="17"/>
    </row>
    <row r="51" spans="1:9">
      <c r="A51" s="50"/>
      <c r="B51" s="17"/>
      <c r="C51" s="17"/>
      <c r="D51" s="17"/>
      <c r="E51" s="55"/>
      <c r="F51" s="50"/>
      <c r="G51" s="17"/>
      <c r="H51" s="17"/>
      <c r="I51" s="17"/>
    </row>
    <row r="52" spans="1:9">
      <c r="A52" s="50"/>
      <c r="B52" s="17"/>
      <c r="C52" s="17"/>
      <c r="D52" s="17"/>
      <c r="E52" s="55"/>
      <c r="F52" s="50"/>
      <c r="G52" s="17"/>
      <c r="H52" s="17"/>
      <c r="I52" s="17"/>
    </row>
    <row r="53" spans="1:9">
      <c r="A53" s="50"/>
      <c r="B53" s="17"/>
      <c r="C53" s="17"/>
      <c r="D53" s="17"/>
      <c r="E53" s="55"/>
      <c r="F53" s="50"/>
      <c r="G53" s="17"/>
      <c r="H53" s="17"/>
      <c r="I53" s="17"/>
    </row>
    <row r="54" spans="1:9">
      <c r="A54" s="50"/>
      <c r="B54" s="17"/>
      <c r="C54" s="17"/>
      <c r="D54" s="17"/>
      <c r="E54" s="55"/>
      <c r="F54" s="50"/>
      <c r="G54" s="17"/>
      <c r="H54" s="17"/>
      <c r="I54" s="17"/>
    </row>
    <row r="55" spans="1:9">
      <c r="A55" s="50"/>
      <c r="B55" s="17"/>
      <c r="C55" s="17"/>
      <c r="D55" s="17"/>
      <c r="E55" s="55"/>
      <c r="F55" s="50"/>
      <c r="G55" s="17"/>
      <c r="H55" s="17"/>
      <c r="I55" s="17"/>
    </row>
    <row r="56" spans="1:9">
      <c r="A56" s="50"/>
      <c r="B56" s="17"/>
      <c r="C56" s="32"/>
      <c r="D56" s="32"/>
      <c r="E56" s="55"/>
      <c r="F56" s="50"/>
      <c r="G56" s="17"/>
      <c r="H56" s="17"/>
      <c r="I56" s="17"/>
    </row>
    <row r="57" spans="1:9">
      <c r="A57" s="50"/>
      <c r="B57" s="17"/>
      <c r="C57" s="21"/>
      <c r="D57" s="21"/>
      <c r="E57" s="55"/>
      <c r="F57" s="50"/>
      <c r="G57" s="17"/>
      <c r="H57" s="17"/>
      <c r="I57" s="17"/>
    </row>
    <row r="58" spans="1:9">
      <c r="A58" s="50"/>
      <c r="B58" s="17"/>
      <c r="C58" s="17"/>
      <c r="D58" s="17"/>
      <c r="E58" s="55"/>
      <c r="F58" s="50"/>
      <c r="G58" s="17"/>
      <c r="H58" s="17"/>
      <c r="I58" s="17"/>
    </row>
    <row r="59" spans="1:9">
      <c r="A59" s="50"/>
      <c r="B59" s="17"/>
      <c r="C59" s="17"/>
      <c r="D59" s="17"/>
      <c r="E59" s="55"/>
      <c r="F59" s="50"/>
      <c r="G59" s="17"/>
      <c r="H59" s="17"/>
      <c r="I59" s="17"/>
    </row>
    <row r="60" spans="1:9">
      <c r="A60" s="50"/>
      <c r="B60" s="17"/>
      <c r="C60" s="17"/>
      <c r="D60" s="17"/>
      <c r="E60" s="55"/>
      <c r="F60" s="50"/>
      <c r="G60" s="17"/>
      <c r="H60" s="17"/>
      <c r="I60" s="17"/>
    </row>
    <row r="61" spans="1:9">
      <c r="A61" s="50"/>
      <c r="B61" s="17"/>
      <c r="C61" s="17"/>
      <c r="D61" s="17"/>
      <c r="E61" s="55"/>
      <c r="F61" s="50"/>
      <c r="G61" s="17"/>
      <c r="H61" s="17"/>
      <c r="I61" s="17"/>
    </row>
    <row r="62" spans="1:9">
      <c r="A62" s="50"/>
      <c r="B62" s="17"/>
      <c r="C62" s="17"/>
      <c r="D62" s="17"/>
      <c r="E62" s="55"/>
      <c r="F62" s="50"/>
      <c r="G62" s="17"/>
      <c r="H62" s="17"/>
      <c r="I62" s="17"/>
    </row>
    <row r="63" spans="1:9">
      <c r="A63" s="50"/>
      <c r="B63" s="17"/>
      <c r="C63" s="17"/>
      <c r="D63" s="17"/>
      <c r="E63" s="55"/>
      <c r="F63" s="50"/>
      <c r="G63" s="17"/>
      <c r="H63" s="17"/>
      <c r="I63" s="17"/>
    </row>
    <row r="64" spans="1:9">
      <c r="A64" s="50"/>
      <c r="B64" s="17"/>
      <c r="C64" s="21"/>
      <c r="D64" s="21"/>
      <c r="E64" s="55"/>
      <c r="F64" s="50"/>
      <c r="G64" s="17"/>
      <c r="H64" s="17"/>
      <c r="I64" s="17"/>
    </row>
    <row r="65" spans="1:9">
      <c r="A65" s="50"/>
      <c r="B65" s="17"/>
      <c r="C65" s="17"/>
      <c r="D65" s="17"/>
      <c r="E65" s="55"/>
      <c r="F65" s="50"/>
      <c r="G65" s="17"/>
      <c r="H65" s="17"/>
      <c r="I65" s="17"/>
    </row>
    <row r="66" spans="1:9">
      <c r="A66" s="50"/>
      <c r="B66" s="17"/>
      <c r="C66" s="17"/>
      <c r="D66" s="17"/>
      <c r="E66" s="55"/>
      <c r="F66" s="50"/>
      <c r="G66" s="17"/>
      <c r="H66" s="17"/>
      <c r="I66" s="17"/>
    </row>
    <row r="67" spans="1:9">
      <c r="A67" s="50"/>
      <c r="B67" s="17"/>
      <c r="C67" s="17"/>
      <c r="D67" s="17"/>
      <c r="E67" s="55"/>
      <c r="F67" s="50"/>
      <c r="G67" s="17"/>
      <c r="H67" s="17"/>
      <c r="I67" s="17"/>
    </row>
    <row r="68" spans="1:9">
      <c r="A68" s="50"/>
      <c r="B68" s="17"/>
      <c r="C68" s="56"/>
      <c r="D68" s="56"/>
      <c r="E68" s="55"/>
      <c r="F68" s="50"/>
      <c r="G68" s="17"/>
      <c r="H68" s="17"/>
      <c r="I68" s="17"/>
    </row>
    <row r="69" spans="1:9">
      <c r="A69" s="50"/>
      <c r="B69" s="17"/>
      <c r="C69" s="17"/>
      <c r="D69" s="17"/>
      <c r="E69" s="55"/>
      <c r="F69" s="50"/>
      <c r="G69" s="17"/>
      <c r="H69" s="17"/>
      <c r="I69" s="17"/>
    </row>
    <row r="70" spans="1:9">
      <c r="A70" s="50"/>
      <c r="B70" s="17"/>
      <c r="C70" s="17"/>
      <c r="D70" s="17"/>
      <c r="E70" s="55"/>
      <c r="F70" s="50"/>
      <c r="G70" s="17"/>
      <c r="H70" s="17"/>
      <c r="I70" s="17"/>
    </row>
    <row r="71" spans="1:9">
      <c r="A71" s="50"/>
      <c r="B71" s="17"/>
      <c r="C71" s="17"/>
      <c r="D71" s="17"/>
      <c r="E71" s="55"/>
      <c r="F71" s="50"/>
      <c r="G71" s="17"/>
      <c r="H71" s="17"/>
      <c r="I71" s="17"/>
    </row>
    <row r="72" spans="1:9">
      <c r="A72" s="50"/>
      <c r="B72" s="17"/>
      <c r="C72" s="17"/>
      <c r="D72" s="17"/>
      <c r="E72" s="55"/>
      <c r="F72" s="50"/>
      <c r="G72" s="17"/>
      <c r="H72" s="17"/>
      <c r="I72" s="17"/>
    </row>
    <row r="73" spans="1:9">
      <c r="A73" s="50"/>
      <c r="B73" s="17"/>
      <c r="C73" s="17"/>
      <c r="D73" s="17"/>
      <c r="E73" s="55"/>
      <c r="F73" s="50"/>
      <c r="G73" s="17"/>
      <c r="H73" s="17"/>
      <c r="I73" s="17"/>
    </row>
    <row r="74" spans="1:9">
      <c r="A74" s="50"/>
      <c r="B74" s="17"/>
      <c r="C74" s="17"/>
      <c r="D74" s="17"/>
      <c r="E74" s="55"/>
      <c r="F74" s="50"/>
      <c r="G74" s="17"/>
      <c r="H74" s="17"/>
      <c r="I74" s="17"/>
    </row>
    <row r="75" spans="1:9">
      <c r="A75" s="50"/>
      <c r="B75" s="17"/>
      <c r="C75" s="21"/>
      <c r="D75" s="21"/>
      <c r="E75" s="55"/>
      <c r="F75" s="50"/>
      <c r="G75" s="17"/>
      <c r="H75" s="17"/>
      <c r="I75" s="17"/>
    </row>
    <row r="76" spans="1:9">
      <c r="A76" s="50"/>
      <c r="B76" s="17"/>
      <c r="C76" s="17"/>
      <c r="D76" s="17"/>
      <c r="E76" s="55"/>
      <c r="F76" s="50"/>
      <c r="G76" s="17"/>
      <c r="H76" s="17"/>
      <c r="I76" s="17"/>
    </row>
    <row r="77" spans="1:9">
      <c r="A77" s="50"/>
      <c r="B77" s="17"/>
      <c r="C77" s="17"/>
      <c r="D77" s="17"/>
      <c r="E77" s="55"/>
      <c r="F77" s="50"/>
      <c r="G77" s="17"/>
      <c r="H77" s="17"/>
      <c r="I77" s="17"/>
    </row>
    <row r="78" spans="1:9">
      <c r="A78" s="50"/>
      <c r="B78" s="17"/>
      <c r="C78" s="17"/>
      <c r="D78" s="17"/>
      <c r="E78" s="55"/>
      <c r="F78" s="50"/>
      <c r="G78" s="17"/>
      <c r="H78" s="17"/>
      <c r="I78" s="17"/>
    </row>
    <row r="79" spans="1:9">
      <c r="A79" s="50"/>
      <c r="B79" s="17"/>
      <c r="C79" s="21"/>
      <c r="D79" s="21"/>
      <c r="E79" s="55"/>
      <c r="F79" s="50"/>
      <c r="G79" s="17"/>
      <c r="H79" s="17"/>
      <c r="I79" s="17"/>
    </row>
    <row r="80" spans="1:9">
      <c r="A80" s="50"/>
      <c r="B80" s="17"/>
      <c r="C80" s="17"/>
      <c r="D80" s="17"/>
      <c r="E80" s="55"/>
      <c r="F80" s="50"/>
      <c r="G80" s="17"/>
      <c r="H80" s="17"/>
      <c r="I80" s="17"/>
    </row>
    <row r="81" spans="1:9">
      <c r="A81" s="50"/>
      <c r="B81" s="17"/>
      <c r="C81" s="17"/>
      <c r="D81" s="17"/>
      <c r="E81" s="55"/>
      <c r="F81" s="50"/>
      <c r="G81" s="17"/>
      <c r="H81" s="17"/>
      <c r="I81" s="17"/>
    </row>
    <row r="82" spans="1:9">
      <c r="A82" s="50"/>
      <c r="B82" s="17"/>
      <c r="C82" s="17"/>
      <c r="D82" s="17"/>
      <c r="E82" s="55"/>
      <c r="F82" s="50"/>
      <c r="G82" s="17"/>
      <c r="H82" s="17"/>
      <c r="I82" s="17"/>
    </row>
    <row r="83" spans="1:9">
      <c r="A83" s="50"/>
      <c r="B83" s="17"/>
      <c r="C83" s="17"/>
      <c r="D83" s="17"/>
      <c r="E83" s="55"/>
      <c r="F83" s="50"/>
      <c r="G83" s="17"/>
      <c r="H83" s="17"/>
      <c r="I83" s="17"/>
    </row>
    <row r="84" spans="1:9">
      <c r="A84" s="50"/>
      <c r="B84" s="17"/>
      <c r="C84" s="17"/>
      <c r="D84" s="17"/>
      <c r="E84" s="55"/>
      <c r="F84" s="50"/>
      <c r="G84" s="17"/>
      <c r="H84" s="17"/>
      <c r="I84" s="17"/>
    </row>
    <row r="85" spans="1:9">
      <c r="A85" s="50"/>
      <c r="B85" s="17"/>
      <c r="C85" s="17"/>
      <c r="D85" s="17"/>
      <c r="E85" s="55"/>
      <c r="F85" s="50"/>
      <c r="G85" s="17"/>
      <c r="H85" s="17"/>
      <c r="I85" s="17"/>
    </row>
    <row r="86" spans="1:9">
      <c r="A86" s="50"/>
      <c r="B86" s="17"/>
      <c r="C86" s="17"/>
      <c r="D86" s="17"/>
      <c r="E86" s="55"/>
      <c r="F86" s="50"/>
      <c r="G86" s="17"/>
      <c r="H86" s="17"/>
      <c r="I86" s="17"/>
    </row>
    <row r="87" spans="1:9">
      <c r="A87" s="50"/>
      <c r="B87" s="17"/>
      <c r="C87" s="17"/>
      <c r="D87" s="17"/>
      <c r="E87" s="55"/>
      <c r="F87" s="50"/>
      <c r="G87" s="17"/>
      <c r="H87" s="17"/>
      <c r="I87" s="17"/>
    </row>
  </sheetData>
  <mergeCells count="1">
    <mergeCell ref="A47:I47"/>
  </mergeCells>
  <dataValidations count="1">
    <dataValidation type="date" allowBlank="1" showInputMessage="1" showErrorMessage="1" sqref="A18:A19">
      <formula1>25569</formula1>
      <formula2>54789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U150"/>
  <sheetViews>
    <sheetView topLeftCell="A37" zoomScale="90" zoomScaleNormal="90" workbookViewId="0">
      <selection activeCell="K26" sqref="K26"/>
    </sheetView>
  </sheetViews>
  <sheetFormatPr defaultRowHeight="15"/>
  <cols>
    <col min="1" max="1" width="10.42578125" style="164" bestFit="1" customWidth="1"/>
    <col min="2" max="2" width="12.42578125" customWidth="1"/>
    <col min="3" max="3" width="35.85546875" bestFit="1" customWidth="1"/>
    <col min="4" max="4" width="16.5703125" bestFit="1" customWidth="1"/>
    <col min="9" max="9" width="11.28515625" bestFit="1" customWidth="1"/>
    <col min="10" max="10" width="17" bestFit="1" customWidth="1"/>
    <col min="11" max="11" width="14.85546875" customWidth="1"/>
  </cols>
  <sheetData>
    <row r="1" spans="1:21" ht="15.75">
      <c r="A1" s="219" t="s">
        <v>618</v>
      </c>
      <c r="B1" s="220"/>
      <c r="C1" s="220"/>
      <c r="D1" s="221"/>
      <c r="E1">
        <v>0</v>
      </c>
    </row>
    <row r="2" spans="1:21">
      <c r="A2" s="162" t="s">
        <v>416</v>
      </c>
      <c r="B2" s="34">
        <f>SUM(B4:B150)</f>
        <v>196881</v>
      </c>
      <c r="C2" s="21"/>
      <c r="D2" s="21"/>
      <c r="E2">
        <v>0</v>
      </c>
    </row>
    <row r="3" spans="1:21">
      <c r="A3" s="162" t="s">
        <v>16</v>
      </c>
      <c r="B3" s="16" t="s">
        <v>17</v>
      </c>
      <c r="C3" s="16" t="s">
        <v>415</v>
      </c>
      <c r="D3" s="16" t="s">
        <v>1245</v>
      </c>
      <c r="E3" s="16" t="s">
        <v>1151</v>
      </c>
    </row>
    <row r="4" spans="1:21">
      <c r="A4" s="242">
        <v>44803</v>
      </c>
      <c r="B4" s="207">
        <v>1455</v>
      </c>
      <c r="C4" s="207" t="s">
        <v>1200</v>
      </c>
      <c r="D4" s="17"/>
      <c r="E4" s="243"/>
      <c r="L4" s="274"/>
      <c r="M4" s="274"/>
      <c r="N4" s="274"/>
      <c r="O4" s="274"/>
      <c r="P4" s="274"/>
      <c r="Q4" s="274"/>
      <c r="R4" s="274"/>
      <c r="S4" s="274"/>
      <c r="T4" s="274"/>
      <c r="U4" s="274"/>
    </row>
    <row r="5" spans="1:21">
      <c r="A5" s="163">
        <v>44652</v>
      </c>
      <c r="B5" s="17">
        <v>100</v>
      </c>
      <c r="C5" s="17"/>
      <c r="D5" s="21"/>
      <c r="E5" s="17"/>
      <c r="J5" s="252" t="s">
        <v>1255</v>
      </c>
      <c r="K5" t="s">
        <v>1258</v>
      </c>
      <c r="L5" s="274"/>
      <c r="M5" s="274"/>
      <c r="N5" s="274"/>
      <c r="O5" s="274"/>
      <c r="P5" s="274"/>
      <c r="Q5" s="274"/>
      <c r="R5" s="274"/>
      <c r="S5" s="274"/>
      <c r="T5" s="274"/>
      <c r="U5" s="274"/>
    </row>
    <row r="6" spans="1:21">
      <c r="A6" s="163">
        <v>44652</v>
      </c>
      <c r="B6" s="17">
        <v>50</v>
      </c>
      <c r="C6" s="47"/>
      <c r="D6" s="47"/>
      <c r="E6" s="17"/>
      <c r="J6" s="253" t="s">
        <v>1247</v>
      </c>
      <c r="K6" s="254">
        <v>15700</v>
      </c>
      <c r="L6" s="274"/>
      <c r="M6" s="274"/>
      <c r="N6" s="274"/>
      <c r="O6" s="274"/>
      <c r="P6" s="274"/>
      <c r="Q6" s="274"/>
      <c r="R6" s="274"/>
      <c r="S6" s="274"/>
      <c r="T6" s="274"/>
      <c r="U6" s="274"/>
    </row>
    <row r="7" spans="1:21">
      <c r="A7" s="163">
        <v>44652</v>
      </c>
      <c r="B7" s="17">
        <v>1000</v>
      </c>
      <c r="C7" s="47"/>
      <c r="D7" s="47"/>
      <c r="E7" s="17"/>
      <c r="J7" s="253" t="s">
        <v>1246</v>
      </c>
      <c r="K7" s="254">
        <v>54600</v>
      </c>
      <c r="L7" s="274"/>
      <c r="M7" s="274"/>
      <c r="N7" s="274"/>
      <c r="O7" s="274"/>
      <c r="P7" s="274"/>
      <c r="Q7" s="274"/>
      <c r="R7" s="274"/>
      <c r="S7" s="274"/>
      <c r="T7" s="274"/>
      <c r="U7" s="274"/>
    </row>
    <row r="8" spans="1:21">
      <c r="A8" s="163">
        <v>44652</v>
      </c>
      <c r="B8" s="17">
        <v>1700</v>
      </c>
      <c r="C8" s="47"/>
      <c r="D8" s="47"/>
      <c r="E8" s="17"/>
      <c r="J8" s="253" t="s">
        <v>1248</v>
      </c>
      <c r="K8" s="254">
        <v>27555</v>
      </c>
      <c r="L8" s="274"/>
      <c r="M8" s="274"/>
      <c r="N8" s="274"/>
      <c r="O8" s="274"/>
      <c r="P8" s="274"/>
      <c r="Q8" s="274"/>
      <c r="R8" s="274"/>
      <c r="S8" s="274"/>
      <c r="T8" s="274"/>
      <c r="U8" s="274"/>
    </row>
    <row r="9" spans="1:21">
      <c r="A9" s="163">
        <v>44652</v>
      </c>
      <c r="B9" s="17">
        <v>250</v>
      </c>
      <c r="C9" s="47"/>
      <c r="D9" s="47"/>
      <c r="E9" s="17"/>
      <c r="J9" s="253" t="s">
        <v>1251</v>
      </c>
      <c r="K9" s="254">
        <v>4530</v>
      </c>
      <c r="L9" s="274"/>
      <c r="M9" s="274"/>
      <c r="N9" s="274"/>
      <c r="O9" s="274"/>
      <c r="P9" s="274"/>
      <c r="Q9" s="274"/>
      <c r="R9" s="274"/>
      <c r="S9" s="274"/>
      <c r="T9" s="274"/>
      <c r="U9" s="274"/>
    </row>
    <row r="10" spans="1:21">
      <c r="A10" s="163">
        <v>44652</v>
      </c>
      <c r="B10" s="17">
        <v>400</v>
      </c>
      <c r="C10" s="47"/>
      <c r="D10" s="47"/>
      <c r="E10" s="17"/>
      <c r="J10" s="253" t="s">
        <v>1250</v>
      </c>
      <c r="K10" s="254">
        <v>5490</v>
      </c>
      <c r="L10" s="274"/>
      <c r="M10" s="274"/>
      <c r="N10" s="274"/>
      <c r="O10" s="274"/>
      <c r="P10" s="274"/>
      <c r="Q10" s="274"/>
      <c r="R10" s="274"/>
      <c r="S10" s="274"/>
      <c r="T10" s="274"/>
      <c r="U10" s="274"/>
    </row>
    <row r="11" spans="1:21">
      <c r="A11" s="163">
        <v>44652</v>
      </c>
      <c r="B11" s="17">
        <v>200</v>
      </c>
      <c r="C11" s="47"/>
      <c r="D11" s="47"/>
      <c r="E11" s="17"/>
      <c r="I11" s="244"/>
      <c r="J11" s="253" t="s">
        <v>1218</v>
      </c>
      <c r="K11" s="254">
        <v>21630</v>
      </c>
      <c r="L11" s="274"/>
      <c r="M11" s="274"/>
      <c r="N11" s="274"/>
      <c r="O11" s="274"/>
      <c r="P11" s="274"/>
      <c r="Q11" s="274"/>
      <c r="R11" s="274"/>
      <c r="S11" s="274"/>
      <c r="T11" s="274"/>
      <c r="U11" s="274"/>
    </row>
    <row r="12" spans="1:21">
      <c r="A12" s="163">
        <v>44652</v>
      </c>
      <c r="B12" s="17">
        <v>275</v>
      </c>
      <c r="C12" s="47"/>
      <c r="D12" s="47"/>
      <c r="E12" s="17"/>
      <c r="J12" s="253" t="s">
        <v>1254</v>
      </c>
      <c r="K12" s="254">
        <v>14550</v>
      </c>
      <c r="L12" s="274"/>
      <c r="M12" s="274"/>
      <c r="N12" s="274"/>
      <c r="O12" s="274"/>
      <c r="P12" s="274"/>
      <c r="Q12" s="274"/>
      <c r="R12" s="274"/>
      <c r="S12" s="274"/>
      <c r="T12" s="274"/>
      <c r="U12" s="274"/>
    </row>
    <row r="13" spans="1:21">
      <c r="A13" s="163">
        <v>44652</v>
      </c>
      <c r="B13" s="17">
        <v>150</v>
      </c>
      <c r="C13" s="47"/>
      <c r="D13" s="47"/>
      <c r="E13" s="17"/>
      <c r="J13" s="253" t="s">
        <v>1212</v>
      </c>
      <c r="K13" s="254">
        <v>18000</v>
      </c>
      <c r="L13" s="274"/>
      <c r="M13" s="274"/>
      <c r="N13" s="274"/>
      <c r="O13" s="274"/>
      <c r="P13" s="274"/>
      <c r="Q13" s="274"/>
      <c r="R13" s="274"/>
      <c r="S13" s="274"/>
      <c r="T13" s="274"/>
      <c r="U13" s="274"/>
    </row>
    <row r="14" spans="1:21">
      <c r="A14" s="163">
        <v>44652</v>
      </c>
      <c r="B14" s="17">
        <v>380</v>
      </c>
      <c r="C14" s="47"/>
      <c r="D14" s="47"/>
      <c r="E14" s="17"/>
      <c r="J14" s="253" t="s">
        <v>1249</v>
      </c>
      <c r="K14" s="254">
        <v>2624</v>
      </c>
      <c r="L14" s="274"/>
      <c r="M14" s="274"/>
      <c r="N14" s="274"/>
      <c r="O14" s="274"/>
      <c r="P14" s="274"/>
      <c r="Q14" s="274"/>
      <c r="R14" s="274"/>
      <c r="S14" s="274"/>
      <c r="T14" s="274"/>
      <c r="U14" s="274"/>
    </row>
    <row r="15" spans="1:21">
      <c r="A15" s="163">
        <v>44652</v>
      </c>
      <c r="B15" s="17">
        <v>500</v>
      </c>
      <c r="C15" s="47"/>
      <c r="D15" s="47"/>
      <c r="E15" s="17"/>
      <c r="J15" s="253" t="s">
        <v>1253</v>
      </c>
      <c r="K15" s="254">
        <v>5000</v>
      </c>
      <c r="L15" s="274"/>
      <c r="M15" s="274"/>
      <c r="N15" s="274"/>
      <c r="O15" s="274"/>
      <c r="P15" s="274"/>
      <c r="Q15" s="274"/>
      <c r="R15" s="274"/>
      <c r="S15" s="274"/>
      <c r="T15" s="274"/>
      <c r="U15" s="274"/>
    </row>
    <row r="16" spans="1:21">
      <c r="A16" s="163">
        <v>44652</v>
      </c>
      <c r="B16" s="17">
        <v>157</v>
      </c>
      <c r="C16" s="47"/>
      <c r="D16" s="47"/>
      <c r="E16" s="17"/>
      <c r="J16" s="253" t="s">
        <v>1252</v>
      </c>
      <c r="K16" s="254">
        <v>2000</v>
      </c>
      <c r="L16" s="274"/>
      <c r="M16" s="274"/>
      <c r="N16" s="274"/>
      <c r="O16" s="274"/>
      <c r="P16" s="274"/>
      <c r="Q16" s="274"/>
      <c r="R16" s="274"/>
      <c r="S16" s="274"/>
      <c r="T16" s="274"/>
      <c r="U16" s="274"/>
    </row>
    <row r="17" spans="1:21">
      <c r="A17" s="163">
        <v>44652</v>
      </c>
      <c r="B17" s="17">
        <v>50</v>
      </c>
      <c r="C17" s="47"/>
      <c r="D17" s="47"/>
      <c r="E17" s="17"/>
      <c r="J17" s="253" t="s">
        <v>1229</v>
      </c>
      <c r="K17" s="254">
        <v>11445</v>
      </c>
      <c r="L17" s="274"/>
      <c r="M17" s="274"/>
      <c r="N17" s="274"/>
      <c r="O17" s="274"/>
      <c r="P17" s="274"/>
      <c r="Q17" s="274"/>
      <c r="R17" s="274"/>
      <c r="S17" s="274"/>
      <c r="T17" s="274"/>
      <c r="U17" s="274"/>
    </row>
    <row r="18" spans="1:21">
      <c r="A18" s="163">
        <v>44652</v>
      </c>
      <c r="B18" s="17">
        <v>50</v>
      </c>
      <c r="C18" s="47"/>
      <c r="D18" s="47"/>
      <c r="E18" s="17"/>
      <c r="J18" s="253" t="s">
        <v>1256</v>
      </c>
      <c r="K18" s="254">
        <v>11637</v>
      </c>
      <c r="L18" s="274"/>
      <c r="M18" s="274"/>
      <c r="N18" s="274"/>
      <c r="O18" s="274"/>
      <c r="P18" s="274"/>
      <c r="Q18" s="274"/>
      <c r="R18" s="274"/>
      <c r="S18" s="274"/>
      <c r="T18" s="274"/>
      <c r="U18" s="274"/>
    </row>
    <row r="19" spans="1:21">
      <c r="A19" s="163">
        <v>44652</v>
      </c>
      <c r="B19" s="17">
        <v>120</v>
      </c>
      <c r="C19" s="47"/>
      <c r="D19" s="47"/>
      <c r="E19" s="17"/>
      <c r="J19" s="253" t="s">
        <v>1257</v>
      </c>
      <c r="K19" s="254">
        <v>194761</v>
      </c>
      <c r="L19" s="274"/>
      <c r="M19" s="274"/>
      <c r="N19" s="274"/>
      <c r="O19" s="274"/>
      <c r="P19" s="274"/>
      <c r="Q19" s="274"/>
      <c r="R19" s="274"/>
      <c r="S19" s="274"/>
      <c r="T19" s="274"/>
      <c r="U19" s="274"/>
    </row>
    <row r="20" spans="1:21">
      <c r="A20" s="163">
        <v>44652</v>
      </c>
      <c r="B20" s="17">
        <v>100</v>
      </c>
      <c r="C20" s="47"/>
      <c r="D20" s="47"/>
      <c r="E20" s="17"/>
      <c r="L20" s="274"/>
      <c r="M20" s="274"/>
      <c r="N20" s="274"/>
      <c r="O20" s="274"/>
      <c r="P20" s="274"/>
      <c r="Q20" s="274"/>
      <c r="R20" s="274"/>
      <c r="S20" s="274"/>
      <c r="T20" s="274"/>
      <c r="U20" s="274"/>
    </row>
    <row r="21" spans="1:21">
      <c r="A21" s="163">
        <v>44652</v>
      </c>
      <c r="B21" s="17">
        <v>1000</v>
      </c>
      <c r="C21" s="47"/>
      <c r="D21" s="47"/>
      <c r="E21" s="17"/>
      <c r="L21" s="274"/>
      <c r="M21" s="274"/>
      <c r="N21" s="274"/>
      <c r="O21" s="274"/>
      <c r="P21" s="274"/>
      <c r="Q21" s="274"/>
      <c r="R21" s="274"/>
      <c r="S21" s="274"/>
      <c r="T21" s="274"/>
      <c r="U21" s="274"/>
    </row>
    <row r="22" spans="1:21">
      <c r="A22" s="163">
        <v>44652</v>
      </c>
      <c r="B22" s="17">
        <v>2500</v>
      </c>
      <c r="C22" s="47"/>
      <c r="D22" s="47"/>
      <c r="E22" s="17"/>
    </row>
    <row r="23" spans="1:21">
      <c r="A23" s="163">
        <v>44652</v>
      </c>
      <c r="B23" s="17">
        <v>100</v>
      </c>
      <c r="C23" s="47"/>
      <c r="D23" s="47"/>
      <c r="E23" s="17"/>
    </row>
    <row r="24" spans="1:21">
      <c r="A24" s="163">
        <v>44652</v>
      </c>
      <c r="B24" s="17">
        <v>1000</v>
      </c>
      <c r="C24" s="47"/>
      <c r="D24" s="47"/>
      <c r="E24" s="17"/>
    </row>
    <row r="25" spans="1:21">
      <c r="A25" s="163">
        <v>44652</v>
      </c>
      <c r="B25" s="17">
        <v>100</v>
      </c>
      <c r="C25" s="47"/>
      <c r="D25" s="47"/>
      <c r="E25" s="17"/>
    </row>
    <row r="26" spans="1:21">
      <c r="A26" s="306">
        <v>44964</v>
      </c>
      <c r="B26" s="207">
        <v>700</v>
      </c>
      <c r="C26" s="207" t="s">
        <v>1158</v>
      </c>
      <c r="D26" s="207">
        <f t="shared" ref="D26" si="0">A26</f>
        <v>44964</v>
      </c>
      <c r="E26" s="243">
        <v>6</v>
      </c>
    </row>
    <row r="27" spans="1:21">
      <c r="A27" s="306">
        <v>44964</v>
      </c>
      <c r="B27" s="207">
        <v>100</v>
      </c>
      <c r="C27" s="207" t="s">
        <v>1161</v>
      </c>
      <c r="D27" s="207" t="s">
        <v>1250</v>
      </c>
      <c r="E27" s="243">
        <v>9</v>
      </c>
    </row>
    <row r="28" spans="1:21">
      <c r="A28" s="306">
        <v>44964</v>
      </c>
      <c r="B28" s="207">
        <v>50</v>
      </c>
      <c r="C28" s="207" t="s">
        <v>1162</v>
      </c>
      <c r="D28" s="207" t="s">
        <v>1250</v>
      </c>
      <c r="E28" s="243">
        <v>10</v>
      </c>
    </row>
    <row r="29" spans="1:21">
      <c r="A29" s="306">
        <v>44965</v>
      </c>
      <c r="B29" s="207">
        <v>200</v>
      </c>
      <c r="C29" s="207" t="s">
        <v>1164</v>
      </c>
      <c r="D29" s="207" t="s">
        <v>1251</v>
      </c>
      <c r="E29" s="243">
        <v>13</v>
      </c>
    </row>
    <row r="30" spans="1:21">
      <c r="A30" s="306">
        <v>44966</v>
      </c>
      <c r="B30" s="207">
        <v>100</v>
      </c>
      <c r="C30" s="207" t="s">
        <v>1167</v>
      </c>
      <c r="D30" s="207" t="s">
        <v>1250</v>
      </c>
      <c r="E30" s="243">
        <v>15</v>
      </c>
    </row>
    <row r="31" spans="1:21">
      <c r="A31" s="306">
        <v>44966</v>
      </c>
      <c r="B31" s="207">
        <v>60</v>
      </c>
      <c r="C31" s="207" t="s">
        <v>1168</v>
      </c>
      <c r="D31" s="207" t="s">
        <v>1250</v>
      </c>
      <c r="E31" s="243">
        <v>16</v>
      </c>
    </row>
    <row r="32" spans="1:21">
      <c r="A32" s="306">
        <v>44968</v>
      </c>
      <c r="B32" s="207">
        <v>100</v>
      </c>
      <c r="C32" s="207" t="s">
        <v>1178</v>
      </c>
      <c r="D32" s="207" t="s">
        <v>1250</v>
      </c>
      <c r="E32" s="243">
        <v>22</v>
      </c>
    </row>
    <row r="33" spans="1:6">
      <c r="A33" s="306">
        <v>44971</v>
      </c>
      <c r="B33" s="207">
        <v>800</v>
      </c>
      <c r="C33" s="207" t="s">
        <v>1182</v>
      </c>
      <c r="D33" s="207" t="s">
        <v>1250</v>
      </c>
      <c r="E33" s="243">
        <v>27</v>
      </c>
    </row>
    <row r="34" spans="1:6">
      <c r="A34" s="306">
        <v>44972</v>
      </c>
      <c r="B34" s="207">
        <v>50</v>
      </c>
      <c r="C34" s="207" t="s">
        <v>1183</v>
      </c>
      <c r="D34" s="207" t="s">
        <v>1250</v>
      </c>
      <c r="E34" s="243">
        <v>29</v>
      </c>
    </row>
    <row r="35" spans="1:6">
      <c r="A35" s="306">
        <v>44972</v>
      </c>
      <c r="B35" s="207">
        <v>50</v>
      </c>
      <c r="C35" s="207" t="s">
        <v>1184</v>
      </c>
      <c r="D35" s="207" t="s">
        <v>1250</v>
      </c>
      <c r="E35" s="243">
        <v>30</v>
      </c>
    </row>
    <row r="36" spans="1:6">
      <c r="A36" s="306">
        <v>44979</v>
      </c>
      <c r="B36" s="207">
        <v>2439</v>
      </c>
      <c r="C36" s="307" t="s">
        <v>1192</v>
      </c>
      <c r="D36" s="207" t="s">
        <v>1248</v>
      </c>
      <c r="E36" s="243">
        <v>38</v>
      </c>
    </row>
    <row r="37" spans="1:6">
      <c r="A37" s="306">
        <v>44979</v>
      </c>
      <c r="B37" s="207">
        <v>160</v>
      </c>
      <c r="C37" s="207" t="s">
        <v>1193</v>
      </c>
      <c r="D37" s="207" t="s">
        <v>1250</v>
      </c>
      <c r="E37" s="243">
        <v>39</v>
      </c>
    </row>
    <row r="38" spans="1:6">
      <c r="A38" s="245">
        <v>44681</v>
      </c>
      <c r="B38" s="212">
        <v>0</v>
      </c>
      <c r="C38" s="212" t="s">
        <v>1203</v>
      </c>
      <c r="D38" s="212" t="s">
        <v>1248</v>
      </c>
      <c r="E38" s="231">
        <v>47</v>
      </c>
    </row>
    <row r="39" spans="1:6">
      <c r="A39" s="245">
        <v>44681</v>
      </c>
      <c r="B39" s="212">
        <v>0</v>
      </c>
      <c r="C39" s="212" t="s">
        <v>1204</v>
      </c>
      <c r="D39" s="212" t="s">
        <v>1229</v>
      </c>
      <c r="E39" s="231">
        <v>48</v>
      </c>
      <c r="F39">
        <v>5782</v>
      </c>
    </row>
    <row r="40" spans="1:6">
      <c r="A40" s="245">
        <v>44711</v>
      </c>
      <c r="B40" s="212">
        <v>400</v>
      </c>
      <c r="C40" s="212" t="s">
        <v>1205</v>
      </c>
      <c r="D40" s="212" t="s">
        <v>1250</v>
      </c>
      <c r="E40" s="231">
        <v>49</v>
      </c>
    </row>
    <row r="41" spans="1:6">
      <c r="A41" s="245">
        <v>44711</v>
      </c>
      <c r="B41" s="212">
        <v>4330</v>
      </c>
      <c r="C41" s="212" t="s">
        <v>1206</v>
      </c>
      <c r="D41" s="212" t="s">
        <v>1251</v>
      </c>
      <c r="E41" s="231">
        <v>50</v>
      </c>
    </row>
    <row r="42" spans="1:6">
      <c r="A42" s="245">
        <v>44711</v>
      </c>
      <c r="B42" s="212">
        <v>500</v>
      </c>
      <c r="C42" s="212" t="s">
        <v>1200</v>
      </c>
      <c r="D42" s="212" t="s">
        <v>1229</v>
      </c>
      <c r="E42" s="231">
        <v>51</v>
      </c>
      <c r="F42">
        <f>SUM(B40:B42)</f>
        <v>5230</v>
      </c>
    </row>
    <row r="43" spans="1:6">
      <c r="A43" s="245">
        <v>44742</v>
      </c>
      <c r="B43" s="212">
        <v>3000</v>
      </c>
      <c r="C43" s="212" t="s">
        <v>1207</v>
      </c>
      <c r="D43" s="212" t="s">
        <v>1218</v>
      </c>
      <c r="E43" s="231">
        <v>52</v>
      </c>
    </row>
    <row r="44" spans="1:6">
      <c r="A44" s="245">
        <v>45107</v>
      </c>
      <c r="B44" s="212">
        <v>200</v>
      </c>
      <c r="C44" s="212" t="s">
        <v>1205</v>
      </c>
      <c r="D44" s="212" t="s">
        <v>1250</v>
      </c>
      <c r="E44" s="231">
        <v>53</v>
      </c>
    </row>
    <row r="45" spans="1:6">
      <c r="A45" s="245">
        <v>45107</v>
      </c>
      <c r="B45" s="212">
        <v>8700</v>
      </c>
      <c r="C45" s="212" t="s">
        <v>1208</v>
      </c>
      <c r="D45" s="212" t="s">
        <v>1247</v>
      </c>
      <c r="E45" s="231">
        <v>54</v>
      </c>
    </row>
    <row r="46" spans="1:6">
      <c r="A46" s="245">
        <v>44742</v>
      </c>
      <c r="B46" s="212">
        <v>2000</v>
      </c>
      <c r="C46" s="212" t="s">
        <v>1209</v>
      </c>
      <c r="D46" s="212" t="s">
        <v>1252</v>
      </c>
      <c r="E46" s="231">
        <v>55</v>
      </c>
    </row>
    <row r="47" spans="1:6">
      <c r="A47" s="245">
        <v>44742</v>
      </c>
      <c r="B47" s="212">
        <v>4754</v>
      </c>
      <c r="C47" s="245" t="s">
        <v>1199</v>
      </c>
      <c r="D47" s="212" t="s">
        <v>1248</v>
      </c>
      <c r="E47" s="231">
        <v>56</v>
      </c>
    </row>
    <row r="48" spans="1:6">
      <c r="A48" s="245">
        <v>44742</v>
      </c>
      <c r="B48" s="212">
        <v>2880</v>
      </c>
      <c r="C48" s="212" t="s">
        <v>1200</v>
      </c>
      <c r="D48" s="212" t="s">
        <v>1229</v>
      </c>
      <c r="E48" s="231">
        <v>57</v>
      </c>
      <c r="F48">
        <f>SUM(B43:B48)</f>
        <v>21534</v>
      </c>
    </row>
    <row r="49" spans="1:6">
      <c r="A49" s="245">
        <v>44772</v>
      </c>
      <c r="B49" s="212">
        <v>34000</v>
      </c>
      <c r="C49" s="212" t="s">
        <v>1210</v>
      </c>
      <c r="D49" s="212" t="s">
        <v>1246</v>
      </c>
      <c r="E49" s="231">
        <v>58</v>
      </c>
    </row>
    <row r="50" spans="1:6">
      <c r="A50" s="245">
        <v>44772</v>
      </c>
      <c r="B50" s="212">
        <v>15500</v>
      </c>
      <c r="C50" s="212" t="s">
        <v>1211</v>
      </c>
      <c r="D50" s="212" t="s">
        <v>1218</v>
      </c>
      <c r="E50" s="231">
        <v>59</v>
      </c>
    </row>
    <row r="51" spans="1:6">
      <c r="A51" s="245">
        <v>44772</v>
      </c>
      <c r="B51" s="212">
        <v>18000</v>
      </c>
      <c r="C51" s="212" t="s">
        <v>1212</v>
      </c>
      <c r="D51" s="212" t="s">
        <v>1212</v>
      </c>
      <c r="E51" s="231">
        <v>60</v>
      </c>
    </row>
    <row r="52" spans="1:6">
      <c r="A52" s="245">
        <v>44772</v>
      </c>
      <c r="B52" s="212">
        <v>1880</v>
      </c>
      <c r="C52" s="212" t="s">
        <v>521</v>
      </c>
      <c r="D52" s="212" t="s">
        <v>1218</v>
      </c>
      <c r="E52" s="231">
        <v>61</v>
      </c>
      <c r="F52" s="247"/>
    </row>
    <row r="53" spans="1:6">
      <c r="A53" s="245">
        <v>44772</v>
      </c>
      <c r="B53" s="212">
        <v>100</v>
      </c>
      <c r="C53" s="212" t="s">
        <v>1213</v>
      </c>
      <c r="D53" s="212" t="s">
        <v>1250</v>
      </c>
      <c r="E53" s="231">
        <v>62</v>
      </c>
      <c r="F53" s="247"/>
    </row>
    <row r="54" spans="1:6">
      <c r="A54" s="245">
        <v>44772</v>
      </c>
      <c r="B54" s="212">
        <v>5400</v>
      </c>
      <c r="C54" s="212" t="s">
        <v>1200</v>
      </c>
      <c r="D54" s="212" t="s">
        <v>1229</v>
      </c>
      <c r="E54" s="231">
        <v>63</v>
      </c>
      <c r="F54" s="247">
        <f>SUM(B49:B54)</f>
        <v>74880</v>
      </c>
    </row>
    <row r="55" spans="1:6">
      <c r="A55" s="245">
        <v>44803</v>
      </c>
      <c r="B55" s="212">
        <v>5000</v>
      </c>
      <c r="C55" s="212" t="s">
        <v>1214</v>
      </c>
      <c r="D55" s="212" t="s">
        <v>1253</v>
      </c>
      <c r="E55" s="231">
        <v>64</v>
      </c>
      <c r="F55" s="247"/>
    </row>
    <row r="56" spans="1:6">
      <c r="A56" s="245">
        <v>44803</v>
      </c>
      <c r="B56" s="212">
        <v>14550</v>
      </c>
      <c r="C56" s="212" t="s">
        <v>1215</v>
      </c>
      <c r="D56" s="212" t="s">
        <v>1254</v>
      </c>
      <c r="E56" s="231">
        <v>65</v>
      </c>
      <c r="F56" s="247"/>
    </row>
    <row r="57" spans="1:6">
      <c r="A57" s="245">
        <v>44803</v>
      </c>
      <c r="B57" s="212">
        <v>14362</v>
      </c>
      <c r="C57" s="212" t="s">
        <v>1199</v>
      </c>
      <c r="D57" s="212" t="s">
        <v>1248</v>
      </c>
      <c r="E57" s="231">
        <v>66</v>
      </c>
      <c r="F57" s="247"/>
    </row>
    <row r="58" spans="1:6">
      <c r="A58" s="245">
        <v>44803</v>
      </c>
      <c r="B58" s="212">
        <v>2000</v>
      </c>
      <c r="C58" s="212" t="s">
        <v>1216</v>
      </c>
      <c r="D58" s="212" t="s">
        <v>1247</v>
      </c>
      <c r="E58" s="231">
        <v>67</v>
      </c>
      <c r="F58" s="247"/>
    </row>
    <row r="59" spans="1:6">
      <c r="A59" s="245">
        <v>44803</v>
      </c>
      <c r="B59" s="212">
        <v>1250</v>
      </c>
      <c r="C59" s="212" t="s">
        <v>1217</v>
      </c>
      <c r="D59" s="212" t="s">
        <v>1218</v>
      </c>
      <c r="E59" s="231">
        <v>69</v>
      </c>
      <c r="F59" s="247"/>
    </row>
    <row r="60" spans="1:6">
      <c r="A60" s="245">
        <v>44803</v>
      </c>
      <c r="B60" s="212">
        <v>1455</v>
      </c>
      <c r="C60" s="212" t="s">
        <v>1200</v>
      </c>
      <c r="D60" s="212" t="s">
        <v>1229</v>
      </c>
      <c r="E60" s="231">
        <v>70</v>
      </c>
      <c r="F60" s="247">
        <f>SUM(B55:B60)</f>
        <v>38617</v>
      </c>
    </row>
    <row r="61" spans="1:6">
      <c r="A61" s="246">
        <v>44834</v>
      </c>
      <c r="B61" s="215">
        <v>20600</v>
      </c>
      <c r="C61" s="215" t="s">
        <v>1210</v>
      </c>
      <c r="D61" s="215" t="s">
        <v>1246</v>
      </c>
      <c r="E61" s="217">
        <v>76</v>
      </c>
      <c r="F61" s="247"/>
    </row>
    <row r="62" spans="1:6">
      <c r="A62" s="246">
        <v>44834</v>
      </c>
      <c r="B62" s="215">
        <v>5000</v>
      </c>
      <c r="C62" s="215" t="s">
        <v>1226</v>
      </c>
      <c r="D62" s="215" t="s">
        <v>1247</v>
      </c>
      <c r="E62" s="217">
        <v>77</v>
      </c>
      <c r="F62" s="247"/>
    </row>
    <row r="63" spans="1:6">
      <c r="A63" s="246">
        <v>44834</v>
      </c>
      <c r="B63" s="215">
        <v>6000</v>
      </c>
      <c r="C63" s="215" t="s">
        <v>1227</v>
      </c>
      <c r="D63" s="215" t="s">
        <v>1248</v>
      </c>
      <c r="E63" s="217">
        <v>79</v>
      </c>
      <c r="F63" s="247"/>
    </row>
    <row r="64" spans="1:6">
      <c r="A64" s="246">
        <v>44834</v>
      </c>
      <c r="B64" s="215">
        <v>2624</v>
      </c>
      <c r="C64" s="215" t="s">
        <v>1228</v>
      </c>
      <c r="D64" s="215" t="s">
        <v>1249</v>
      </c>
      <c r="E64" s="217">
        <v>80</v>
      </c>
      <c r="F64" s="247"/>
    </row>
    <row r="65" spans="1:6">
      <c r="A65" s="246">
        <v>44834</v>
      </c>
      <c r="B65" s="215">
        <v>310</v>
      </c>
      <c r="C65" s="215" t="s">
        <v>1217</v>
      </c>
      <c r="D65" s="215" t="s">
        <v>1250</v>
      </c>
      <c r="E65" s="217">
        <v>81</v>
      </c>
      <c r="F65" s="247"/>
    </row>
    <row r="66" spans="1:6">
      <c r="A66" s="246">
        <v>44834</v>
      </c>
      <c r="B66" s="215">
        <v>1210</v>
      </c>
      <c r="C66" s="215" t="s">
        <v>1229</v>
      </c>
      <c r="D66" s="215" t="s">
        <v>1229</v>
      </c>
      <c r="E66" s="217">
        <v>82</v>
      </c>
      <c r="F66" s="247"/>
    </row>
    <row r="67" spans="1:6">
      <c r="A67" s="246">
        <v>44834</v>
      </c>
      <c r="B67" s="215">
        <v>1510</v>
      </c>
      <c r="C67" s="215" t="s">
        <v>1230</v>
      </c>
      <c r="D67" s="215" t="s">
        <v>1250</v>
      </c>
      <c r="E67" s="217">
        <v>83</v>
      </c>
    </row>
    <row r="68" spans="1:6">
      <c r="A68" s="246">
        <v>44834</v>
      </c>
      <c r="B68" s="215">
        <v>1000</v>
      </c>
      <c r="C68" s="215" t="s">
        <v>1231</v>
      </c>
      <c r="D68" s="215" t="s">
        <v>1250</v>
      </c>
      <c r="E68" s="217">
        <v>84</v>
      </c>
    </row>
    <row r="69" spans="1:6">
      <c r="A69" s="246">
        <v>44834</v>
      </c>
      <c r="B69" s="215">
        <v>500</v>
      </c>
      <c r="C69" s="215" t="s">
        <v>1232</v>
      </c>
      <c r="D69" s="215" t="s">
        <v>1250</v>
      </c>
      <c r="E69" s="217">
        <v>85</v>
      </c>
    </row>
    <row r="70" spans="1:6">
      <c r="A70" s="306">
        <v>44984</v>
      </c>
      <c r="B70" s="207">
        <v>250</v>
      </c>
      <c r="C70" s="207" t="s">
        <v>1259</v>
      </c>
      <c r="D70" s="207" t="s">
        <v>1250</v>
      </c>
      <c r="E70" s="243">
        <v>86</v>
      </c>
    </row>
    <row r="71" spans="1:6">
      <c r="A71" s="306">
        <v>44984</v>
      </c>
      <c r="B71" s="207">
        <v>100</v>
      </c>
      <c r="C71" s="207" t="s">
        <v>1205</v>
      </c>
      <c r="D71" s="207" t="s">
        <v>1250</v>
      </c>
      <c r="E71" s="243">
        <v>87</v>
      </c>
    </row>
    <row r="72" spans="1:6">
      <c r="A72" s="245">
        <v>44988</v>
      </c>
      <c r="B72" s="212">
        <v>100</v>
      </c>
      <c r="C72" s="212" t="s">
        <v>1264</v>
      </c>
      <c r="D72" s="212" t="s">
        <v>1250</v>
      </c>
      <c r="E72" s="231">
        <v>93</v>
      </c>
    </row>
    <row r="73" spans="1:6">
      <c r="A73" s="245">
        <v>44988</v>
      </c>
      <c r="B73" s="212">
        <v>50</v>
      </c>
      <c r="C73" s="212" t="s">
        <v>1265</v>
      </c>
      <c r="D73" s="212" t="s">
        <v>1250</v>
      </c>
      <c r="E73" s="231">
        <v>94</v>
      </c>
    </row>
    <row r="74" spans="1:6">
      <c r="A74" s="306">
        <v>44958</v>
      </c>
      <c r="B74" s="207">
        <v>300</v>
      </c>
      <c r="C74" s="207" t="s">
        <v>1259</v>
      </c>
      <c r="D74" s="207" t="s">
        <v>1250</v>
      </c>
      <c r="E74" s="243">
        <v>95</v>
      </c>
    </row>
    <row r="75" spans="1:6">
      <c r="A75" s="306">
        <v>44958</v>
      </c>
      <c r="B75" s="207">
        <v>50</v>
      </c>
      <c r="C75" s="207" t="s">
        <v>1184</v>
      </c>
      <c r="D75" s="207" t="s">
        <v>1250</v>
      </c>
      <c r="E75" s="243">
        <v>96</v>
      </c>
    </row>
    <row r="76" spans="1:6">
      <c r="A76" s="306">
        <v>44959</v>
      </c>
      <c r="B76" s="207">
        <v>570</v>
      </c>
      <c r="C76" s="207" t="s">
        <v>1267</v>
      </c>
      <c r="D76" s="207" t="s">
        <v>449</v>
      </c>
      <c r="E76" s="243">
        <v>98</v>
      </c>
    </row>
    <row r="77" spans="1:6">
      <c r="A77" s="163"/>
      <c r="B77" s="47"/>
      <c r="C77" s="47"/>
      <c r="D77" s="47"/>
      <c r="E77" s="17"/>
    </row>
    <row r="78" spans="1:6">
      <c r="A78" s="163"/>
      <c r="B78" s="47"/>
      <c r="C78" s="47"/>
      <c r="D78" s="47"/>
      <c r="E78" s="17"/>
    </row>
    <row r="79" spans="1:6">
      <c r="A79" s="163"/>
      <c r="B79" s="47"/>
      <c r="C79" s="47"/>
      <c r="D79" s="47"/>
      <c r="E79" s="17"/>
    </row>
    <row r="80" spans="1:6">
      <c r="A80" s="163"/>
      <c r="B80" s="47"/>
      <c r="C80" s="47"/>
      <c r="D80" s="47"/>
      <c r="E80" s="17"/>
    </row>
    <row r="81" spans="1:5">
      <c r="A81" s="163"/>
      <c r="B81" s="47"/>
      <c r="C81" s="47"/>
      <c r="D81" s="47"/>
      <c r="E81" s="17"/>
    </row>
    <row r="82" spans="1:5">
      <c r="A82" s="163"/>
      <c r="B82" s="17"/>
      <c r="C82" s="17"/>
      <c r="D82" s="17"/>
      <c r="E82" s="17"/>
    </row>
    <row r="83" spans="1:5">
      <c r="A83" s="163"/>
      <c r="B83" s="17"/>
      <c r="C83" s="17"/>
      <c r="D83" s="17"/>
      <c r="E83" s="17"/>
    </row>
    <row r="84" spans="1:5">
      <c r="A84" s="163"/>
      <c r="B84" s="17"/>
      <c r="C84" s="17"/>
      <c r="D84" s="17"/>
      <c r="E84" s="17"/>
    </row>
    <row r="85" spans="1:5">
      <c r="A85" s="163"/>
      <c r="B85" s="17"/>
      <c r="C85" s="17"/>
      <c r="D85" s="17"/>
      <c r="E85" s="17"/>
    </row>
    <row r="86" spans="1:5">
      <c r="A86" s="163"/>
      <c r="B86" s="17"/>
      <c r="C86" s="17"/>
      <c r="D86" s="17"/>
      <c r="E86" s="17"/>
    </row>
    <row r="87" spans="1:5">
      <c r="A87" s="163"/>
      <c r="B87" s="17"/>
      <c r="C87" s="17"/>
      <c r="D87" s="17"/>
      <c r="E87" s="17"/>
    </row>
    <row r="88" spans="1:5">
      <c r="A88" s="163"/>
      <c r="B88" s="17"/>
      <c r="C88" s="17"/>
      <c r="D88" s="17"/>
      <c r="E88" s="17"/>
    </row>
    <row r="89" spans="1:5">
      <c r="A89" s="163"/>
      <c r="B89" s="17"/>
      <c r="C89" s="17"/>
      <c r="D89" s="17"/>
      <c r="E89" s="17"/>
    </row>
    <row r="90" spans="1:5">
      <c r="A90" s="163"/>
      <c r="B90" s="17"/>
      <c r="C90" s="17"/>
      <c r="D90" s="17"/>
      <c r="E90" s="17"/>
    </row>
    <row r="91" spans="1:5">
      <c r="A91" s="163"/>
      <c r="B91" s="17"/>
      <c r="C91" s="17"/>
      <c r="D91" s="17"/>
      <c r="E91" s="17"/>
    </row>
    <row r="92" spans="1:5">
      <c r="A92" s="163"/>
      <c r="B92" s="17"/>
      <c r="C92" s="17"/>
      <c r="D92" s="17"/>
      <c r="E92" s="17"/>
    </row>
    <row r="93" spans="1:5">
      <c r="A93" s="163"/>
      <c r="B93" s="17"/>
      <c r="C93" s="17"/>
      <c r="D93" s="17"/>
      <c r="E93" s="17"/>
    </row>
    <row r="94" spans="1:5">
      <c r="A94" s="163"/>
      <c r="B94" s="17"/>
      <c r="C94" s="17"/>
      <c r="D94" s="17"/>
      <c r="E94" s="17"/>
    </row>
    <row r="95" spans="1:5">
      <c r="A95" s="163"/>
      <c r="B95" s="17"/>
      <c r="C95" s="17"/>
      <c r="D95" s="17"/>
      <c r="E95" s="17"/>
    </row>
    <row r="96" spans="1:5">
      <c r="A96" s="163"/>
      <c r="B96" s="17"/>
      <c r="C96" s="17"/>
      <c r="D96" s="17"/>
      <c r="E96" s="17"/>
    </row>
    <row r="97" spans="1:5">
      <c r="A97" s="163"/>
      <c r="B97" s="17"/>
      <c r="C97" s="17"/>
      <c r="D97" s="17"/>
      <c r="E97" s="17"/>
    </row>
    <row r="98" spans="1:5">
      <c r="A98" s="163"/>
      <c r="B98" s="17"/>
      <c r="C98" s="17"/>
      <c r="D98" s="17"/>
      <c r="E98" s="17"/>
    </row>
    <row r="99" spans="1:5">
      <c r="A99" s="163"/>
      <c r="B99" s="17"/>
      <c r="C99" s="17"/>
      <c r="D99" s="17"/>
      <c r="E99" s="17"/>
    </row>
    <row r="100" spans="1:5">
      <c r="A100" s="163"/>
      <c r="B100" s="17"/>
      <c r="C100" s="17"/>
      <c r="D100" s="17"/>
      <c r="E100" s="17"/>
    </row>
    <row r="101" spans="1:5">
      <c r="A101" s="163"/>
      <c r="B101" s="17"/>
      <c r="C101" s="17"/>
      <c r="D101" s="17"/>
      <c r="E101" s="17"/>
    </row>
    <row r="102" spans="1:5">
      <c r="A102" s="163"/>
      <c r="B102" s="17"/>
      <c r="C102" s="17"/>
      <c r="D102" s="17"/>
      <c r="E102" s="17"/>
    </row>
    <row r="103" spans="1:5">
      <c r="A103" s="163"/>
      <c r="B103" s="17"/>
      <c r="C103" s="17"/>
      <c r="D103" s="17"/>
      <c r="E103" s="17"/>
    </row>
    <row r="104" spans="1:5">
      <c r="A104" s="163"/>
      <c r="B104" s="17"/>
      <c r="C104" s="17"/>
      <c r="D104" s="17"/>
      <c r="E104" s="17"/>
    </row>
    <row r="105" spans="1:5">
      <c r="A105" s="163"/>
      <c r="B105" s="17"/>
      <c r="C105" s="17"/>
      <c r="D105" s="17"/>
      <c r="E105" s="17"/>
    </row>
    <row r="106" spans="1:5">
      <c r="A106" s="163"/>
      <c r="B106" s="17"/>
      <c r="C106" s="17"/>
      <c r="D106" s="17"/>
      <c r="E106" s="17"/>
    </row>
    <row r="107" spans="1:5">
      <c r="A107" s="163"/>
      <c r="B107" s="17"/>
      <c r="C107" s="17"/>
      <c r="D107" s="17"/>
      <c r="E107" s="17"/>
    </row>
    <row r="108" spans="1:5">
      <c r="A108" s="163"/>
      <c r="B108" s="17"/>
      <c r="C108" s="17"/>
      <c r="D108" s="17"/>
      <c r="E108" s="17"/>
    </row>
    <row r="109" spans="1:5">
      <c r="A109" s="163"/>
      <c r="B109" s="17"/>
      <c r="C109" s="17"/>
      <c r="D109" s="17"/>
      <c r="E109" s="17"/>
    </row>
    <row r="110" spans="1:5">
      <c r="A110" s="163"/>
      <c r="B110" s="17"/>
      <c r="C110" s="17"/>
      <c r="D110" s="17"/>
      <c r="E110" s="17"/>
    </row>
    <row r="111" spans="1:5">
      <c r="A111" s="163"/>
      <c r="B111" s="17"/>
      <c r="C111" s="17"/>
      <c r="D111" s="17"/>
      <c r="E111" s="17"/>
    </row>
    <row r="112" spans="1:5">
      <c r="A112" s="163"/>
      <c r="B112" s="17"/>
      <c r="C112" s="17"/>
      <c r="D112" s="17"/>
      <c r="E112" s="17"/>
    </row>
    <row r="113" spans="1:5">
      <c r="A113" s="163"/>
      <c r="B113" s="17"/>
      <c r="C113" s="17"/>
      <c r="D113" s="17"/>
      <c r="E113" s="17"/>
    </row>
    <row r="114" spans="1:5">
      <c r="A114" s="163"/>
      <c r="B114" s="17"/>
      <c r="C114" s="17"/>
      <c r="D114" s="17"/>
      <c r="E114" s="17"/>
    </row>
    <row r="115" spans="1:5">
      <c r="A115" s="163"/>
      <c r="B115" s="17"/>
      <c r="C115" s="17"/>
      <c r="D115" s="17"/>
      <c r="E115" s="17"/>
    </row>
    <row r="116" spans="1:5">
      <c r="A116" s="163"/>
      <c r="B116" s="17"/>
      <c r="C116" s="17"/>
      <c r="D116" s="17"/>
      <c r="E116" s="17"/>
    </row>
    <row r="117" spans="1:5">
      <c r="A117" s="163"/>
      <c r="B117" s="17"/>
      <c r="C117" s="17"/>
      <c r="D117" s="17"/>
      <c r="E117" s="17"/>
    </row>
    <row r="118" spans="1:5">
      <c r="A118" s="163"/>
      <c r="B118" s="17"/>
      <c r="C118" s="17"/>
      <c r="D118" s="17"/>
      <c r="E118" s="17"/>
    </row>
    <row r="119" spans="1:5">
      <c r="A119" s="163"/>
      <c r="B119" s="17"/>
      <c r="C119" s="17"/>
      <c r="D119" s="17"/>
      <c r="E119" s="17"/>
    </row>
    <row r="120" spans="1:5">
      <c r="A120" s="163"/>
      <c r="B120" s="17"/>
      <c r="C120" s="17"/>
      <c r="D120" s="17"/>
      <c r="E120" s="17"/>
    </row>
    <row r="121" spans="1:5">
      <c r="A121" s="163"/>
      <c r="B121" s="17"/>
      <c r="C121" s="17"/>
      <c r="D121" s="17"/>
      <c r="E121" s="17"/>
    </row>
    <row r="122" spans="1:5">
      <c r="A122" s="163"/>
      <c r="B122" s="17"/>
      <c r="C122" s="17"/>
      <c r="D122" s="17"/>
      <c r="E122" s="17"/>
    </row>
    <row r="123" spans="1:5">
      <c r="A123" s="163"/>
      <c r="B123" s="17"/>
      <c r="C123" s="17"/>
      <c r="D123" s="17"/>
      <c r="E123" s="17"/>
    </row>
    <row r="124" spans="1:5">
      <c r="A124" s="163"/>
      <c r="B124" s="17"/>
      <c r="C124" s="17"/>
      <c r="D124" s="17"/>
      <c r="E124" s="17"/>
    </row>
    <row r="125" spans="1:5">
      <c r="A125" s="163"/>
      <c r="B125" s="17"/>
      <c r="C125" s="17"/>
      <c r="D125" s="17"/>
      <c r="E125" s="17"/>
    </row>
    <row r="126" spans="1:5">
      <c r="A126" s="163"/>
      <c r="B126" s="17"/>
      <c r="C126" s="17"/>
      <c r="D126" s="17"/>
      <c r="E126" s="17"/>
    </row>
    <row r="127" spans="1:5">
      <c r="A127" s="163"/>
      <c r="B127" s="17"/>
      <c r="C127" s="17"/>
      <c r="D127" s="17"/>
      <c r="E127" s="17"/>
    </row>
    <row r="128" spans="1:5">
      <c r="A128" s="163"/>
      <c r="B128" s="17"/>
      <c r="C128" s="17"/>
      <c r="D128" s="17"/>
      <c r="E128" s="17"/>
    </row>
    <row r="129" spans="1:5">
      <c r="A129" s="163"/>
      <c r="B129" s="17"/>
      <c r="C129" s="17"/>
      <c r="D129" s="17"/>
      <c r="E129" s="17"/>
    </row>
    <row r="130" spans="1:5">
      <c r="A130" s="163"/>
      <c r="B130" s="17"/>
      <c r="C130" s="17"/>
      <c r="D130" s="17"/>
      <c r="E130" s="17"/>
    </row>
    <row r="131" spans="1:5">
      <c r="A131" s="163"/>
      <c r="B131" s="17"/>
      <c r="C131" s="17"/>
      <c r="D131" s="17"/>
      <c r="E131" s="17"/>
    </row>
    <row r="132" spans="1:5">
      <c r="A132" s="163"/>
      <c r="B132" s="17"/>
      <c r="C132" s="17"/>
      <c r="D132" s="17"/>
      <c r="E132" s="17"/>
    </row>
    <row r="133" spans="1:5">
      <c r="A133" s="163"/>
      <c r="B133" s="17"/>
      <c r="C133" s="17"/>
      <c r="D133" s="17"/>
      <c r="E133" s="17"/>
    </row>
    <row r="134" spans="1:5">
      <c r="A134" s="163"/>
      <c r="B134" s="17"/>
      <c r="C134" s="17"/>
      <c r="D134" s="17"/>
      <c r="E134" s="17"/>
    </row>
    <row r="135" spans="1:5">
      <c r="A135" s="163"/>
      <c r="B135" s="17"/>
      <c r="C135" s="17"/>
      <c r="D135" s="17"/>
      <c r="E135" s="17"/>
    </row>
    <row r="136" spans="1:5">
      <c r="A136" s="163"/>
      <c r="B136" s="17"/>
      <c r="C136" s="17"/>
      <c r="D136" s="17"/>
      <c r="E136" s="17"/>
    </row>
    <row r="137" spans="1:5">
      <c r="A137" s="163"/>
      <c r="B137" s="17"/>
      <c r="C137" s="17"/>
      <c r="D137" s="17"/>
      <c r="E137" s="17"/>
    </row>
    <row r="138" spans="1:5">
      <c r="A138" s="163"/>
      <c r="B138" s="17"/>
      <c r="C138" s="17"/>
      <c r="D138" s="17"/>
      <c r="E138" s="17"/>
    </row>
    <row r="139" spans="1:5">
      <c r="A139" s="163"/>
      <c r="B139" s="17"/>
      <c r="C139" s="17"/>
      <c r="D139" s="17"/>
      <c r="E139" s="17"/>
    </row>
    <row r="140" spans="1:5">
      <c r="A140" s="163"/>
      <c r="B140" s="17"/>
      <c r="C140" s="17"/>
      <c r="D140" s="17"/>
      <c r="E140" s="17"/>
    </row>
    <row r="141" spans="1:5">
      <c r="A141" s="163"/>
      <c r="B141" s="17"/>
      <c r="C141" s="17"/>
      <c r="D141" s="17"/>
      <c r="E141" s="17"/>
    </row>
    <row r="142" spans="1:5">
      <c r="A142" s="163"/>
      <c r="B142" s="17"/>
      <c r="C142" s="17"/>
      <c r="D142" s="17"/>
      <c r="E142" s="17"/>
    </row>
    <row r="143" spans="1:5">
      <c r="A143" s="163"/>
      <c r="B143" s="17"/>
      <c r="C143" s="17"/>
      <c r="D143" s="17"/>
      <c r="E143" s="17"/>
    </row>
    <row r="144" spans="1:5">
      <c r="A144" s="163"/>
      <c r="B144" s="17"/>
      <c r="C144" s="17"/>
      <c r="D144" s="17"/>
      <c r="E144" s="17"/>
    </row>
    <row r="145" spans="1:5">
      <c r="A145" s="163"/>
      <c r="B145" s="17"/>
      <c r="C145" s="17"/>
      <c r="D145" s="17"/>
      <c r="E145" s="17"/>
    </row>
    <row r="146" spans="1:5">
      <c r="A146" s="163"/>
      <c r="B146" s="17"/>
      <c r="C146" s="17"/>
      <c r="D146" s="17"/>
      <c r="E146" s="17"/>
    </row>
    <row r="147" spans="1:5">
      <c r="A147" s="163"/>
      <c r="B147" s="17"/>
      <c r="C147" s="17"/>
      <c r="D147" s="17"/>
      <c r="E147" s="17"/>
    </row>
    <row r="148" spans="1:5">
      <c r="A148" s="163"/>
      <c r="B148" s="17"/>
      <c r="C148" s="17"/>
      <c r="D148" s="17"/>
      <c r="E148" s="17"/>
    </row>
    <row r="149" spans="1:5">
      <c r="A149" s="163"/>
      <c r="B149" s="17"/>
      <c r="C149" s="17"/>
      <c r="D149" s="17"/>
      <c r="E149" s="17"/>
    </row>
    <row r="150" spans="1:5">
      <c r="A150" s="163"/>
      <c r="B150" s="17"/>
      <c r="C150" s="17"/>
      <c r="D150" s="17"/>
      <c r="E150" s="17"/>
    </row>
  </sheetData>
  <mergeCells count="1">
    <mergeCell ref="L4:U21"/>
  </mergeCells>
  <dataValidations count="1">
    <dataValidation type="date" allowBlank="1" showInputMessage="1" showErrorMessage="1" sqref="A26:A31">
      <formula1>25569</formula1>
      <formula2>54789</formula2>
    </dataValidation>
  </dataValidations>
  <pageMargins left="0.7" right="0.7" top="0.75" bottom="0.75" header="0.3" footer="0.3"/>
  <pageSetup orientation="portrait" r:id="rId2"/>
  <headerFooter>
    <oddHeader>Page &amp;P of &amp;N</oddHeader>
  </headerFooter>
  <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7"/>
  <dimension ref="A1:U29"/>
  <sheetViews>
    <sheetView zoomScale="80" zoomScaleNormal="80" workbookViewId="0">
      <selection activeCell="J39" sqref="J39"/>
    </sheetView>
  </sheetViews>
  <sheetFormatPr defaultRowHeight="15"/>
  <cols>
    <col min="1" max="1" width="2.140625" customWidth="1"/>
    <col min="2" max="2" width="13.5703125" bestFit="1" customWidth="1"/>
    <col min="3" max="3" width="28.42578125" bestFit="1" customWidth="1"/>
    <col min="4" max="4" width="33.7109375" bestFit="1" customWidth="1"/>
    <col min="5" max="5" width="10.140625" bestFit="1" customWidth="1"/>
    <col min="7" max="7" width="1" customWidth="1"/>
    <col min="16" max="16" width="1.42578125" customWidth="1"/>
    <col min="20" max="20" width="18.42578125" bestFit="1" customWidth="1"/>
    <col min="21" max="21" width="9.28515625" bestFit="1" customWidth="1"/>
  </cols>
  <sheetData>
    <row r="1" spans="1:21" ht="7.5" customHeight="1">
      <c r="A1" s="238"/>
      <c r="B1" s="238"/>
      <c r="C1" s="238" t="s">
        <v>1153</v>
      </c>
      <c r="D1" s="238"/>
      <c r="E1" s="238"/>
      <c r="F1" s="238"/>
      <c r="G1" s="238"/>
      <c r="H1" s="239"/>
      <c r="I1" s="239"/>
      <c r="J1" s="239"/>
      <c r="K1" s="239"/>
      <c r="L1" s="239"/>
      <c r="M1" s="239"/>
      <c r="N1" s="239"/>
      <c r="O1" s="239"/>
      <c r="P1" s="239"/>
      <c r="Q1" s="118"/>
    </row>
    <row r="2" spans="1:21">
      <c r="A2" s="238"/>
      <c r="B2" s="107" t="s">
        <v>16</v>
      </c>
      <c r="C2" s="107" t="s">
        <v>17</v>
      </c>
      <c r="D2" s="107" t="s">
        <v>11</v>
      </c>
      <c r="E2" s="107" t="s">
        <v>1171</v>
      </c>
      <c r="F2" s="107"/>
      <c r="G2" s="240"/>
      <c r="H2" s="275" t="s">
        <v>1172</v>
      </c>
      <c r="I2" s="275"/>
      <c r="J2" s="275"/>
      <c r="K2" s="275"/>
      <c r="L2" s="275"/>
      <c r="M2" s="275"/>
      <c r="N2" s="275"/>
      <c r="O2" s="275"/>
      <c r="P2" s="239"/>
      <c r="Q2" s="118"/>
    </row>
    <row r="3" spans="1:21">
      <c r="A3" s="238"/>
      <c r="B3" s="306">
        <v>44964</v>
      </c>
      <c r="C3" s="207">
        <v>100</v>
      </c>
      <c r="D3" s="207" t="s">
        <v>1159</v>
      </c>
      <c r="E3" s="243">
        <v>7</v>
      </c>
      <c r="F3" s="241">
        <f>SUM(C3:C102)</f>
        <v>43920</v>
      </c>
      <c r="G3" s="240"/>
      <c r="H3" s="275"/>
      <c r="I3" s="275"/>
      <c r="J3" s="275"/>
      <c r="K3" s="275"/>
      <c r="L3" s="275"/>
      <c r="M3" s="275"/>
      <c r="N3" s="275"/>
      <c r="O3" s="275"/>
      <c r="P3" s="239"/>
      <c r="Q3" s="118"/>
    </row>
    <row r="4" spans="1:21">
      <c r="A4" s="238"/>
      <c r="B4" s="306">
        <v>44964</v>
      </c>
      <c r="C4" s="207">
        <v>120</v>
      </c>
      <c r="D4" s="207" t="s">
        <v>1160</v>
      </c>
      <c r="E4" s="243">
        <v>8</v>
      </c>
      <c r="F4" s="4"/>
      <c r="G4" s="240"/>
      <c r="H4" s="275"/>
      <c r="I4" s="275"/>
      <c r="J4" s="275"/>
      <c r="K4" s="275"/>
      <c r="L4" s="275"/>
      <c r="M4" s="275"/>
      <c r="N4" s="275"/>
      <c r="O4" s="275"/>
      <c r="P4" s="239"/>
      <c r="Q4" s="118"/>
    </row>
    <row r="5" spans="1:21">
      <c r="A5" s="238"/>
      <c r="B5" s="306">
        <v>44968</v>
      </c>
      <c r="C5" s="207">
        <v>8900</v>
      </c>
      <c r="D5" s="207" t="s">
        <v>1175</v>
      </c>
      <c r="E5" s="243">
        <v>19</v>
      </c>
      <c r="F5" s="4"/>
      <c r="G5" s="240"/>
      <c r="H5" s="275"/>
      <c r="I5" s="275"/>
      <c r="J5" s="275"/>
      <c r="K5" s="275"/>
      <c r="L5" s="275"/>
      <c r="M5" s="275"/>
      <c r="N5" s="275"/>
      <c r="O5" s="275"/>
      <c r="P5" s="239"/>
      <c r="Q5" s="118"/>
    </row>
    <row r="6" spans="1:21">
      <c r="A6" s="238"/>
      <c r="B6" s="306">
        <v>44968</v>
      </c>
      <c r="C6" s="207">
        <v>1000</v>
      </c>
      <c r="D6" s="207" t="s">
        <v>1176</v>
      </c>
      <c r="E6" s="243">
        <v>20</v>
      </c>
      <c r="F6" s="4"/>
      <c r="G6" s="240"/>
      <c r="H6" s="275"/>
      <c r="I6" s="275"/>
      <c r="J6" s="275"/>
      <c r="K6" s="275"/>
      <c r="L6" s="275"/>
      <c r="M6" s="275"/>
      <c r="N6" s="275"/>
      <c r="O6" s="275"/>
      <c r="P6" s="239"/>
      <c r="Q6" s="118"/>
      <c r="T6" t="s">
        <v>1233</v>
      </c>
    </row>
    <row r="7" spans="1:21">
      <c r="A7" s="238"/>
      <c r="B7" s="306">
        <v>44968</v>
      </c>
      <c r="C7" s="207">
        <v>1300</v>
      </c>
      <c r="D7" s="207" t="s">
        <v>1177</v>
      </c>
      <c r="E7" s="243">
        <v>21</v>
      </c>
      <c r="F7" s="4"/>
      <c r="G7" s="240"/>
      <c r="H7" s="275"/>
      <c r="I7" s="275"/>
      <c r="J7" s="275"/>
      <c r="K7" s="275"/>
      <c r="L7" s="275"/>
      <c r="M7" s="275"/>
      <c r="N7" s="275"/>
      <c r="O7" s="275"/>
      <c r="P7" s="239"/>
      <c r="Q7" s="118"/>
      <c r="T7" s="250" t="s">
        <v>613</v>
      </c>
      <c r="U7" s="250" t="s">
        <v>1234</v>
      </c>
    </row>
    <row r="8" spans="1:21">
      <c r="A8" s="238"/>
      <c r="B8" s="306">
        <v>44969</v>
      </c>
      <c r="C8" s="207">
        <v>2100</v>
      </c>
      <c r="D8" s="207" t="s">
        <v>1179</v>
      </c>
      <c r="E8" s="243">
        <v>23</v>
      </c>
      <c r="F8" s="4"/>
      <c r="G8" s="240"/>
      <c r="H8" s="275"/>
      <c r="I8" s="275"/>
      <c r="J8" s="275"/>
      <c r="K8" s="275"/>
      <c r="L8" s="275"/>
      <c r="M8" s="275"/>
      <c r="N8" s="275"/>
      <c r="O8" s="275"/>
      <c r="P8" s="239"/>
      <c r="Q8" s="118"/>
      <c r="T8" s="149">
        <v>44652</v>
      </c>
      <c r="U8" s="17">
        <v>2900</v>
      </c>
    </row>
    <row r="9" spans="1:21">
      <c r="A9" s="238"/>
      <c r="B9" s="306">
        <v>44969</v>
      </c>
      <c r="C9" s="207">
        <v>2400</v>
      </c>
      <c r="D9" s="207" t="s">
        <v>1180</v>
      </c>
      <c r="E9" s="243">
        <v>24</v>
      </c>
      <c r="F9" s="4"/>
      <c r="G9" s="240"/>
      <c r="H9" s="275"/>
      <c r="I9" s="275"/>
      <c r="J9" s="275"/>
      <c r="K9" s="275"/>
      <c r="L9" s="275"/>
      <c r="M9" s="275"/>
      <c r="N9" s="275"/>
      <c r="O9" s="275"/>
      <c r="P9" s="239"/>
      <c r="Q9" s="118"/>
      <c r="T9" s="149">
        <v>44682</v>
      </c>
      <c r="U9" s="17"/>
    </row>
    <row r="10" spans="1:21">
      <c r="A10" s="238"/>
      <c r="B10" s="306">
        <v>44973</v>
      </c>
      <c r="C10" s="207">
        <v>2500</v>
      </c>
      <c r="D10" s="207" t="s">
        <v>1185</v>
      </c>
      <c r="E10" s="243">
        <v>31</v>
      </c>
      <c r="F10" s="4"/>
      <c r="G10" s="240"/>
      <c r="H10" s="275"/>
      <c r="I10" s="275"/>
      <c r="J10" s="275"/>
      <c r="K10" s="275"/>
      <c r="L10" s="275"/>
      <c r="M10" s="275"/>
      <c r="N10" s="275"/>
      <c r="O10" s="275"/>
      <c r="P10" s="239"/>
      <c r="Q10" s="118"/>
      <c r="T10" s="149">
        <v>44713</v>
      </c>
      <c r="U10" s="17"/>
    </row>
    <row r="11" spans="1:21">
      <c r="A11" s="238"/>
      <c r="B11" s="306">
        <v>44973</v>
      </c>
      <c r="C11" s="207">
        <v>1200</v>
      </c>
      <c r="D11" s="207" t="s">
        <v>1186</v>
      </c>
      <c r="E11" s="243">
        <v>32</v>
      </c>
      <c r="F11" s="4"/>
      <c r="G11" s="240"/>
      <c r="H11" s="275"/>
      <c r="I11" s="275"/>
      <c r="J11" s="275"/>
      <c r="K11" s="275"/>
      <c r="L11" s="275"/>
      <c r="M11" s="275"/>
      <c r="N11" s="275"/>
      <c r="O11" s="275"/>
      <c r="P11" s="239"/>
      <c r="Q11" s="118"/>
      <c r="T11" s="149">
        <v>44743</v>
      </c>
      <c r="U11" s="17"/>
    </row>
    <row r="12" spans="1:21">
      <c r="A12" s="238"/>
      <c r="B12" s="306">
        <v>44974</v>
      </c>
      <c r="C12" s="207">
        <v>250</v>
      </c>
      <c r="D12" s="207" t="s">
        <v>1187</v>
      </c>
      <c r="E12" s="243">
        <v>33</v>
      </c>
      <c r="F12" s="4"/>
      <c r="G12" s="240"/>
      <c r="H12" s="275"/>
      <c r="I12" s="275"/>
      <c r="J12" s="275"/>
      <c r="K12" s="275"/>
      <c r="L12" s="275"/>
      <c r="M12" s="275"/>
      <c r="N12" s="275"/>
      <c r="O12" s="275"/>
      <c r="P12" s="239"/>
      <c r="Q12" s="118"/>
      <c r="T12" s="149">
        <v>44774</v>
      </c>
      <c r="U12" s="17">
        <v>7150</v>
      </c>
    </row>
    <row r="13" spans="1:21">
      <c r="A13" s="238"/>
      <c r="B13" s="306">
        <v>44974</v>
      </c>
      <c r="C13" s="207">
        <v>100</v>
      </c>
      <c r="D13" s="207" t="s">
        <v>1188</v>
      </c>
      <c r="E13" s="243">
        <v>34</v>
      </c>
      <c r="F13" s="4"/>
      <c r="G13" s="240"/>
      <c r="H13" s="275"/>
      <c r="I13" s="275"/>
      <c r="J13" s="275"/>
      <c r="K13" s="275"/>
      <c r="L13" s="275"/>
      <c r="M13" s="275"/>
      <c r="N13" s="275"/>
      <c r="O13" s="275"/>
      <c r="P13" s="239"/>
      <c r="Q13" s="118"/>
      <c r="T13" s="149">
        <v>44805</v>
      </c>
      <c r="U13" s="17">
        <v>14900</v>
      </c>
    </row>
    <row r="14" spans="1:21">
      <c r="A14" s="238"/>
      <c r="B14" s="306">
        <v>44978</v>
      </c>
      <c r="C14" s="207">
        <v>150</v>
      </c>
      <c r="D14" s="207" t="s">
        <v>1191</v>
      </c>
      <c r="E14" s="243">
        <v>37</v>
      </c>
      <c r="F14" s="4"/>
      <c r="G14" s="240"/>
      <c r="H14" s="275"/>
      <c r="I14" s="275"/>
      <c r="J14" s="275"/>
      <c r="K14" s="275"/>
      <c r="L14" s="275"/>
      <c r="M14" s="275"/>
      <c r="N14" s="275"/>
      <c r="O14" s="275"/>
      <c r="P14" s="239"/>
      <c r="Q14" s="118"/>
      <c r="T14" s="149">
        <v>44835</v>
      </c>
      <c r="U14" s="17"/>
    </row>
    <row r="15" spans="1:21">
      <c r="A15" s="238"/>
      <c r="B15" s="245">
        <v>44681</v>
      </c>
      <c r="C15" s="212">
        <v>0</v>
      </c>
      <c r="D15" s="212" t="s">
        <v>1201</v>
      </c>
      <c r="E15" s="231">
        <v>45</v>
      </c>
      <c r="F15" s="4"/>
      <c r="G15" s="240"/>
      <c r="H15" s="275"/>
      <c r="I15" s="275"/>
      <c r="J15" s="275"/>
      <c r="K15" s="275"/>
      <c r="L15" s="275"/>
      <c r="M15" s="275"/>
      <c r="N15" s="275"/>
      <c r="O15" s="275"/>
      <c r="P15" s="239"/>
      <c r="Q15" s="118"/>
      <c r="T15" s="149">
        <v>44866</v>
      </c>
      <c r="U15" s="17"/>
    </row>
    <row r="16" spans="1:21">
      <c r="A16" s="238"/>
      <c r="B16" s="245">
        <v>44681</v>
      </c>
      <c r="C16" s="212">
        <v>0</v>
      </c>
      <c r="D16" s="212" t="s">
        <v>1202</v>
      </c>
      <c r="E16" s="231">
        <v>46</v>
      </c>
      <c r="F16" s="4"/>
      <c r="G16" s="240"/>
      <c r="H16" s="275"/>
      <c r="I16" s="275"/>
      <c r="J16" s="275"/>
      <c r="K16" s="275"/>
      <c r="L16" s="275"/>
      <c r="M16" s="275"/>
      <c r="N16" s="275"/>
      <c r="O16" s="275"/>
      <c r="P16" s="239"/>
      <c r="Q16" s="118"/>
      <c r="T16" s="149">
        <v>44896</v>
      </c>
      <c r="U16" s="17"/>
    </row>
    <row r="17" spans="1:21">
      <c r="A17" s="238"/>
      <c r="B17" s="245">
        <v>44803</v>
      </c>
      <c r="C17" s="212">
        <v>7150</v>
      </c>
      <c r="D17" s="212" t="s">
        <v>1198</v>
      </c>
      <c r="E17" s="231">
        <v>68</v>
      </c>
      <c r="F17" s="4"/>
      <c r="G17" s="240"/>
      <c r="H17" s="275"/>
      <c r="I17" s="275"/>
      <c r="J17" s="275"/>
      <c r="K17" s="275"/>
      <c r="L17" s="275"/>
      <c r="M17" s="275"/>
      <c r="N17" s="275"/>
      <c r="O17" s="275"/>
      <c r="P17" s="239"/>
      <c r="Q17" s="118"/>
      <c r="T17" s="149">
        <v>44927</v>
      </c>
      <c r="U17" s="17"/>
    </row>
    <row r="18" spans="1:21">
      <c r="A18" s="238"/>
      <c r="B18" s="246">
        <v>44834</v>
      </c>
      <c r="C18" s="215">
        <v>14900</v>
      </c>
      <c r="D18" s="215" t="s">
        <v>1198</v>
      </c>
      <c r="E18" s="217">
        <v>78</v>
      </c>
      <c r="F18" s="4"/>
      <c r="G18" s="240"/>
      <c r="H18" s="275"/>
      <c r="I18" s="275"/>
      <c r="J18" s="275"/>
      <c r="K18" s="275"/>
      <c r="L18" s="275"/>
      <c r="M18" s="275"/>
      <c r="N18" s="275"/>
      <c r="O18" s="275"/>
      <c r="P18" s="239"/>
      <c r="Q18" s="118"/>
      <c r="T18" s="149">
        <v>44958</v>
      </c>
      <c r="U18" s="17">
        <v>20120</v>
      </c>
    </row>
    <row r="19" spans="1:21">
      <c r="A19" s="238"/>
      <c r="B19" s="306">
        <v>44984</v>
      </c>
      <c r="C19" s="207">
        <v>100</v>
      </c>
      <c r="D19" s="207" t="s">
        <v>1260</v>
      </c>
      <c r="E19" s="243">
        <v>88</v>
      </c>
      <c r="F19" s="4"/>
      <c r="G19" s="240"/>
      <c r="H19" s="275"/>
      <c r="I19" s="275"/>
      <c r="J19" s="275"/>
      <c r="K19" s="275"/>
      <c r="L19" s="275"/>
      <c r="M19" s="275"/>
      <c r="N19" s="275"/>
      <c r="O19" s="275"/>
      <c r="P19" s="239"/>
      <c r="Q19" s="118"/>
      <c r="T19" s="149">
        <v>44986</v>
      </c>
      <c r="U19" s="17"/>
    </row>
    <row r="20" spans="1:21">
      <c r="A20" s="238"/>
      <c r="B20" s="245">
        <v>44988</v>
      </c>
      <c r="C20" s="212">
        <v>1650</v>
      </c>
      <c r="D20" s="212" t="s">
        <v>1263</v>
      </c>
      <c r="E20" s="231">
        <v>92</v>
      </c>
      <c r="F20" s="4"/>
      <c r="G20" s="240"/>
      <c r="H20" s="275"/>
      <c r="I20" s="275"/>
      <c r="J20" s="275"/>
      <c r="K20" s="275"/>
      <c r="L20" s="275"/>
      <c r="M20" s="275"/>
      <c r="N20" s="275"/>
      <c r="O20" s="275"/>
      <c r="P20" s="239"/>
      <c r="Q20" s="118"/>
      <c r="T20" t="s">
        <v>31</v>
      </c>
      <c r="U20">
        <f>SUM(U8:U19)</f>
        <v>45070</v>
      </c>
    </row>
    <row r="21" spans="1:21">
      <c r="A21" s="238"/>
      <c r="B21" s="248"/>
      <c r="C21" s="248"/>
      <c r="D21" s="249"/>
      <c r="E21" s="249"/>
      <c r="F21" s="4"/>
      <c r="G21" s="240"/>
      <c r="H21" s="275"/>
      <c r="I21" s="275"/>
      <c r="J21" s="275"/>
      <c r="K21" s="275"/>
      <c r="L21" s="275"/>
      <c r="M21" s="275"/>
      <c r="N21" s="275"/>
      <c r="O21" s="275"/>
      <c r="P21" s="239"/>
      <c r="Q21" s="118"/>
    </row>
    <row r="22" spans="1:21">
      <c r="A22" s="238"/>
      <c r="B22" s="26"/>
      <c r="C22" s="26"/>
      <c r="D22" s="4"/>
      <c r="E22" s="4"/>
      <c r="F22" s="4"/>
      <c r="G22" s="240"/>
      <c r="H22" s="275"/>
      <c r="I22" s="275"/>
      <c r="J22" s="275"/>
      <c r="K22" s="275"/>
      <c r="L22" s="275"/>
      <c r="M22" s="275"/>
      <c r="N22" s="275"/>
      <c r="O22" s="275"/>
      <c r="P22" s="239"/>
      <c r="Q22" s="118"/>
    </row>
    <row r="23" spans="1:21">
      <c r="A23" s="238"/>
      <c r="B23" s="26"/>
      <c r="C23" s="4"/>
      <c r="D23" s="4"/>
      <c r="E23" s="4"/>
      <c r="F23" s="4"/>
      <c r="G23" s="240"/>
      <c r="H23" s="275"/>
      <c r="I23" s="275"/>
      <c r="J23" s="275"/>
      <c r="K23" s="275"/>
      <c r="L23" s="275"/>
      <c r="M23" s="275"/>
      <c r="N23" s="275"/>
      <c r="O23" s="275"/>
      <c r="P23" s="239"/>
      <c r="Q23" s="118"/>
    </row>
    <row r="24" spans="1:21">
      <c r="A24" s="238"/>
      <c r="B24" s="26"/>
      <c r="C24" s="4"/>
      <c r="D24" s="4"/>
      <c r="E24" s="4"/>
      <c r="F24" s="4"/>
      <c r="G24" s="240"/>
      <c r="H24" s="275"/>
      <c r="I24" s="275"/>
      <c r="J24" s="275"/>
      <c r="K24" s="275"/>
      <c r="L24" s="275"/>
      <c r="M24" s="275"/>
      <c r="N24" s="275"/>
      <c r="O24" s="275"/>
      <c r="P24" s="239"/>
      <c r="Q24" s="118"/>
    </row>
    <row r="25" spans="1:21">
      <c r="A25" s="238"/>
      <c r="B25" s="26"/>
      <c r="C25" s="4"/>
      <c r="D25" s="4"/>
      <c r="E25" s="4"/>
      <c r="F25" s="4"/>
      <c r="G25" s="240"/>
      <c r="H25" s="275"/>
      <c r="I25" s="275"/>
      <c r="J25" s="275"/>
      <c r="K25" s="275"/>
      <c r="L25" s="275"/>
      <c r="M25" s="275"/>
      <c r="N25" s="275"/>
      <c r="O25" s="275"/>
      <c r="P25" s="239"/>
      <c r="Q25" s="118"/>
    </row>
    <row r="26" spans="1:21">
      <c r="A26" s="238"/>
      <c r="B26" s="26"/>
      <c r="C26" s="4"/>
      <c r="D26" s="4"/>
      <c r="E26" s="4"/>
      <c r="F26" s="4"/>
      <c r="G26" s="240"/>
      <c r="H26" s="275"/>
      <c r="I26" s="275"/>
      <c r="J26" s="275"/>
      <c r="K26" s="275"/>
      <c r="L26" s="275"/>
      <c r="M26" s="275"/>
      <c r="N26" s="275"/>
      <c r="O26" s="275"/>
      <c r="P26" s="239"/>
      <c r="Q26" s="118"/>
    </row>
    <row r="27" spans="1:21">
      <c r="A27" s="238"/>
      <c r="B27" s="26"/>
      <c r="C27" s="4"/>
      <c r="D27" s="4"/>
      <c r="E27" s="4"/>
      <c r="F27" s="4"/>
      <c r="G27" s="240"/>
      <c r="H27" s="275"/>
      <c r="I27" s="275"/>
      <c r="J27" s="275"/>
      <c r="K27" s="275"/>
      <c r="L27" s="275"/>
      <c r="M27" s="275"/>
      <c r="N27" s="275"/>
      <c r="O27" s="275"/>
      <c r="P27" s="239"/>
      <c r="Q27" s="118"/>
    </row>
    <row r="28" spans="1:21" ht="6.75" customHeight="1">
      <c r="A28" s="238"/>
      <c r="G28" s="240"/>
      <c r="H28" s="239"/>
      <c r="I28" s="239"/>
      <c r="J28" s="239"/>
      <c r="K28" s="239"/>
      <c r="L28" s="239"/>
      <c r="M28" s="239"/>
      <c r="N28" s="239"/>
      <c r="O28" s="239"/>
      <c r="P28" s="239"/>
      <c r="Q28" s="118"/>
    </row>
    <row r="29" spans="1:21">
      <c r="A29" s="238"/>
      <c r="G29" s="240"/>
      <c r="H29" s="118"/>
      <c r="I29" s="118"/>
      <c r="J29" s="118"/>
      <c r="K29" s="118"/>
      <c r="L29" s="118"/>
      <c r="M29" s="118"/>
      <c r="N29" s="118"/>
      <c r="O29" s="118"/>
      <c r="P29" s="118"/>
      <c r="Q29" s="118"/>
    </row>
  </sheetData>
  <mergeCells count="1">
    <mergeCell ref="H2:O27"/>
  </mergeCells>
  <dataValidations disablePrompts="1" count="1">
    <dataValidation type="date" allowBlank="1" showInputMessage="1" showErrorMessage="1" sqref="A7:B7 A3:A5 B3:B6">
      <formula1>25569</formula1>
      <formula2>54789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C150"/>
  <sheetViews>
    <sheetView workbookViewId="0">
      <selection activeCell="A56" sqref="A56"/>
    </sheetView>
  </sheetViews>
  <sheetFormatPr defaultRowHeight="15"/>
  <cols>
    <col min="1" max="1" width="10.42578125" style="164" bestFit="1" customWidth="1"/>
    <col min="2" max="2" width="12.42578125" customWidth="1"/>
    <col min="3" max="3" width="37.7109375" customWidth="1"/>
  </cols>
  <sheetData>
    <row r="1" spans="1:3" ht="15.75">
      <c r="A1" s="276" t="s">
        <v>834</v>
      </c>
      <c r="B1" s="276"/>
      <c r="C1" s="276"/>
    </row>
    <row r="2" spans="1:3">
      <c r="A2" s="162" t="s">
        <v>416</v>
      </c>
      <c r="B2" s="34">
        <f>SUM(B4:B150)</f>
        <v>219300</v>
      </c>
      <c r="C2" s="21"/>
    </row>
    <row r="3" spans="1:3">
      <c r="A3" s="162" t="s">
        <v>16</v>
      </c>
      <c r="B3" s="16" t="s">
        <v>17</v>
      </c>
      <c r="C3" s="16" t="s">
        <v>52</v>
      </c>
    </row>
    <row r="4" spans="1:3">
      <c r="A4" s="163">
        <v>44652</v>
      </c>
      <c r="B4" s="17">
        <v>5000</v>
      </c>
      <c r="C4" s="17"/>
    </row>
    <row r="5" spans="1:3">
      <c r="A5" s="163">
        <v>44652</v>
      </c>
      <c r="B5" s="17">
        <v>1000</v>
      </c>
      <c r="C5" s="21"/>
    </row>
    <row r="6" spans="1:3">
      <c r="A6" s="163">
        <v>44652</v>
      </c>
      <c r="B6" s="17">
        <v>3000</v>
      </c>
      <c r="C6" s="47"/>
    </row>
    <row r="7" spans="1:3">
      <c r="A7" s="163">
        <v>44652</v>
      </c>
      <c r="B7" s="17">
        <v>1000</v>
      </c>
      <c r="C7" s="47"/>
    </row>
    <row r="8" spans="1:3">
      <c r="A8" s="163">
        <v>44652</v>
      </c>
      <c r="B8" s="17">
        <v>1000</v>
      </c>
      <c r="C8" s="47"/>
    </row>
    <row r="9" spans="1:3">
      <c r="A9" s="163">
        <v>44652</v>
      </c>
      <c r="B9" s="17">
        <v>1000</v>
      </c>
      <c r="C9" s="47"/>
    </row>
    <row r="10" spans="1:3">
      <c r="A10" s="163">
        <v>44652</v>
      </c>
      <c r="B10" s="17">
        <v>3000</v>
      </c>
      <c r="C10" s="47"/>
    </row>
    <row r="11" spans="1:3">
      <c r="A11" s="163">
        <v>44652</v>
      </c>
      <c r="B11" s="17">
        <v>5000</v>
      </c>
      <c r="C11" s="47"/>
    </row>
    <row r="12" spans="1:3">
      <c r="A12" s="163">
        <v>44652</v>
      </c>
      <c r="B12" s="17">
        <v>9000</v>
      </c>
      <c r="C12" s="47"/>
    </row>
    <row r="13" spans="1:3">
      <c r="A13" s="163">
        <v>44652</v>
      </c>
      <c r="B13" s="17">
        <v>9000</v>
      </c>
      <c r="C13" s="47"/>
    </row>
    <row r="14" spans="1:3">
      <c r="A14" s="163">
        <v>44652</v>
      </c>
      <c r="B14" s="17">
        <v>3000</v>
      </c>
      <c r="C14" s="47"/>
    </row>
    <row r="15" spans="1:3">
      <c r="A15" s="163">
        <v>44652</v>
      </c>
      <c r="B15" s="17">
        <v>3000</v>
      </c>
      <c r="C15" s="47"/>
    </row>
    <row r="16" spans="1:3">
      <c r="A16" s="163">
        <v>44652</v>
      </c>
      <c r="B16" s="17">
        <v>5000</v>
      </c>
      <c r="C16" s="47"/>
    </row>
    <row r="17" spans="1:3">
      <c r="A17" s="163">
        <v>44652</v>
      </c>
      <c r="B17" s="17">
        <v>7500</v>
      </c>
      <c r="C17" s="47"/>
    </row>
    <row r="18" spans="1:3">
      <c r="A18" s="163">
        <v>44652</v>
      </c>
      <c r="B18" s="17">
        <v>1500</v>
      </c>
      <c r="C18" s="47"/>
    </row>
    <row r="19" spans="1:3">
      <c r="A19" s="163">
        <v>44652</v>
      </c>
      <c r="B19" s="17">
        <v>1500</v>
      </c>
      <c r="C19" s="47"/>
    </row>
    <row r="20" spans="1:3">
      <c r="A20" s="163">
        <v>44652</v>
      </c>
      <c r="B20" s="17">
        <v>1500</v>
      </c>
      <c r="C20" s="47"/>
    </row>
    <row r="21" spans="1:3">
      <c r="A21" s="163">
        <v>44652</v>
      </c>
      <c r="B21" s="17">
        <v>4000</v>
      </c>
      <c r="C21" s="47"/>
    </row>
    <row r="22" spans="1:3">
      <c r="A22" s="163">
        <v>44652</v>
      </c>
      <c r="B22" s="17">
        <v>7300</v>
      </c>
      <c r="C22" s="47"/>
    </row>
    <row r="23" spans="1:3">
      <c r="A23" s="163">
        <v>44652</v>
      </c>
      <c r="B23" s="17">
        <v>1100</v>
      </c>
      <c r="C23" s="47"/>
    </row>
    <row r="24" spans="1:3">
      <c r="A24" s="163">
        <v>44652</v>
      </c>
      <c r="B24" s="17">
        <v>3000</v>
      </c>
      <c r="C24" s="47"/>
    </row>
    <row r="25" spans="1:3">
      <c r="A25" s="163">
        <v>44652</v>
      </c>
      <c r="B25" s="17">
        <v>3000</v>
      </c>
      <c r="C25" s="47"/>
    </row>
    <row r="26" spans="1:3">
      <c r="A26" s="163">
        <v>44652</v>
      </c>
      <c r="B26" s="17">
        <v>2000</v>
      </c>
      <c r="C26" s="47"/>
    </row>
    <row r="27" spans="1:3">
      <c r="A27" s="163">
        <v>44652</v>
      </c>
      <c r="B27" s="17">
        <v>3000</v>
      </c>
      <c r="C27" s="47"/>
    </row>
    <row r="28" spans="1:3">
      <c r="A28" s="163">
        <v>44652</v>
      </c>
      <c r="B28" s="17">
        <v>5000</v>
      </c>
      <c r="C28" s="47"/>
    </row>
    <row r="29" spans="1:3">
      <c r="A29" s="163">
        <v>44652</v>
      </c>
      <c r="B29" s="17">
        <v>2000</v>
      </c>
      <c r="C29" s="47"/>
    </row>
    <row r="30" spans="1:3">
      <c r="A30" s="163">
        <v>44652</v>
      </c>
      <c r="B30" s="17">
        <v>1100</v>
      </c>
      <c r="C30" s="47"/>
    </row>
    <row r="31" spans="1:3">
      <c r="A31" s="163">
        <v>44652</v>
      </c>
      <c r="B31" s="17">
        <v>1100</v>
      </c>
      <c r="C31" s="47"/>
    </row>
    <row r="32" spans="1:3">
      <c r="A32" s="163">
        <v>44652</v>
      </c>
      <c r="B32" s="17">
        <v>2800</v>
      </c>
      <c r="C32" s="47"/>
    </row>
    <row r="33" spans="1:3">
      <c r="A33" s="163">
        <v>44652</v>
      </c>
      <c r="B33" s="17">
        <v>6200</v>
      </c>
      <c r="C33" s="47"/>
    </row>
    <row r="34" spans="1:3">
      <c r="A34" s="163">
        <v>44652</v>
      </c>
      <c r="B34" s="17">
        <v>1100</v>
      </c>
      <c r="C34" s="47"/>
    </row>
    <row r="35" spans="1:3">
      <c r="A35" s="163">
        <v>44652</v>
      </c>
      <c r="B35" s="17">
        <v>10000</v>
      </c>
      <c r="C35" s="47"/>
    </row>
    <row r="36" spans="1:3">
      <c r="A36" s="163">
        <v>44652</v>
      </c>
      <c r="B36" s="17">
        <v>4000</v>
      </c>
      <c r="C36" s="47"/>
    </row>
    <row r="37" spans="1:3">
      <c r="A37" s="163">
        <v>44652</v>
      </c>
      <c r="B37" s="17">
        <v>17000</v>
      </c>
      <c r="C37" s="47"/>
    </row>
    <row r="38" spans="1:3">
      <c r="A38" s="163">
        <v>44652</v>
      </c>
      <c r="B38" s="17">
        <v>1000</v>
      </c>
      <c r="C38" s="47"/>
    </row>
    <row r="39" spans="1:3">
      <c r="A39" s="163">
        <v>44652</v>
      </c>
      <c r="B39" s="17">
        <v>1000</v>
      </c>
      <c r="C39" s="47"/>
    </row>
    <row r="40" spans="1:3">
      <c r="A40" s="163">
        <v>44652</v>
      </c>
      <c r="B40" s="17">
        <v>5000</v>
      </c>
      <c r="C40" s="47"/>
    </row>
    <row r="41" spans="1:3">
      <c r="A41" s="163">
        <v>44652</v>
      </c>
      <c r="B41" s="17">
        <v>1400</v>
      </c>
      <c r="C41" s="47"/>
    </row>
    <row r="42" spans="1:3">
      <c r="A42" s="163">
        <v>44652</v>
      </c>
      <c r="B42" s="17">
        <v>600</v>
      </c>
      <c r="C42" s="47"/>
    </row>
    <row r="43" spans="1:3">
      <c r="A43" s="163">
        <v>44652</v>
      </c>
      <c r="B43" s="17">
        <v>5000</v>
      </c>
      <c r="C43" s="47"/>
    </row>
    <row r="44" spans="1:3">
      <c r="A44" s="163">
        <v>44652</v>
      </c>
      <c r="B44" s="17">
        <v>5000</v>
      </c>
      <c r="C44" s="47"/>
    </row>
    <row r="45" spans="1:3">
      <c r="A45" s="163">
        <v>44652</v>
      </c>
      <c r="B45" s="17">
        <v>10000</v>
      </c>
      <c r="C45" s="47"/>
    </row>
    <row r="46" spans="1:3">
      <c r="A46" s="163">
        <v>44652</v>
      </c>
      <c r="B46" s="17">
        <v>2000</v>
      </c>
      <c r="C46" s="47"/>
    </row>
    <row r="47" spans="1:3">
      <c r="A47" s="163">
        <v>44652</v>
      </c>
      <c r="B47" s="17">
        <v>5000</v>
      </c>
      <c r="C47" s="47"/>
    </row>
    <row r="48" spans="1:3">
      <c r="A48" s="163">
        <v>44652</v>
      </c>
      <c r="B48" s="17">
        <v>2000</v>
      </c>
      <c r="C48" s="47"/>
    </row>
    <row r="49" spans="1:3">
      <c r="A49" s="163">
        <v>44652</v>
      </c>
      <c r="B49" s="17">
        <v>10000</v>
      </c>
      <c r="C49" s="47"/>
    </row>
    <row r="50" spans="1:3">
      <c r="A50" s="163">
        <v>44652</v>
      </c>
      <c r="B50" s="17">
        <v>10000</v>
      </c>
      <c r="C50" s="47"/>
    </row>
    <row r="51" spans="1:3">
      <c r="A51" s="163">
        <v>44652</v>
      </c>
      <c r="B51" s="17">
        <v>5000</v>
      </c>
      <c r="C51" s="47"/>
    </row>
    <row r="52" spans="1:3">
      <c r="A52" s="163">
        <v>44652</v>
      </c>
      <c r="B52" s="17">
        <v>5000</v>
      </c>
      <c r="C52" s="47"/>
    </row>
    <row r="53" spans="1:3">
      <c r="A53" s="163">
        <v>44652</v>
      </c>
      <c r="B53" s="17">
        <v>9500</v>
      </c>
      <c r="C53" s="47"/>
    </row>
    <row r="54" spans="1:3">
      <c r="A54" s="163">
        <v>44652</v>
      </c>
      <c r="B54" s="17">
        <v>2500</v>
      </c>
      <c r="C54" s="47"/>
    </row>
    <row r="55" spans="1:3">
      <c r="A55" s="163">
        <v>44652</v>
      </c>
      <c r="B55" s="17">
        <v>4600</v>
      </c>
      <c r="C55" s="47"/>
    </row>
    <row r="56" spans="1:3">
      <c r="A56" s="163"/>
      <c r="B56" s="47"/>
      <c r="C56" s="47"/>
    </row>
    <row r="57" spans="1:3">
      <c r="A57" s="163"/>
      <c r="B57" s="47"/>
      <c r="C57" s="47"/>
    </row>
    <row r="58" spans="1:3">
      <c r="A58" s="163"/>
      <c r="B58" s="47"/>
      <c r="C58" s="47"/>
    </row>
    <row r="59" spans="1:3">
      <c r="A59" s="163"/>
      <c r="B59" s="47"/>
      <c r="C59" s="47"/>
    </row>
    <row r="60" spans="1:3">
      <c r="A60" s="163"/>
      <c r="B60" s="47"/>
      <c r="C60" s="47"/>
    </row>
    <row r="61" spans="1:3">
      <c r="A61" s="163"/>
      <c r="B61" s="47"/>
      <c r="C61" s="47"/>
    </row>
    <row r="62" spans="1:3">
      <c r="A62" s="163"/>
      <c r="B62" s="47"/>
      <c r="C62" s="47"/>
    </row>
    <row r="63" spans="1:3">
      <c r="A63" s="163"/>
      <c r="B63" s="47"/>
      <c r="C63" s="47"/>
    </row>
    <row r="64" spans="1:3">
      <c r="A64" s="163"/>
      <c r="B64" s="47"/>
      <c r="C64" s="47"/>
    </row>
    <row r="65" spans="1:3">
      <c r="A65" s="163"/>
      <c r="B65" s="47"/>
      <c r="C65" s="47"/>
    </row>
    <row r="66" spans="1:3">
      <c r="A66" s="163"/>
      <c r="B66" s="47"/>
      <c r="C66" s="47"/>
    </row>
    <row r="67" spans="1:3">
      <c r="A67" s="163"/>
      <c r="B67" s="47"/>
      <c r="C67" s="47"/>
    </row>
    <row r="68" spans="1:3">
      <c r="A68" s="163"/>
      <c r="B68" s="47"/>
      <c r="C68" s="47"/>
    </row>
    <row r="69" spans="1:3">
      <c r="A69" s="163"/>
      <c r="B69" s="47"/>
      <c r="C69" s="47"/>
    </row>
    <row r="70" spans="1:3">
      <c r="A70" s="163"/>
      <c r="B70" s="47"/>
      <c r="C70" s="47"/>
    </row>
    <row r="71" spans="1:3">
      <c r="A71" s="163"/>
      <c r="B71" s="47"/>
      <c r="C71" s="47"/>
    </row>
    <row r="72" spans="1:3">
      <c r="A72" s="163"/>
      <c r="B72" s="47"/>
      <c r="C72" s="47"/>
    </row>
    <row r="73" spans="1:3">
      <c r="A73" s="163"/>
      <c r="B73" s="47"/>
      <c r="C73" s="47"/>
    </row>
    <row r="74" spans="1:3">
      <c r="A74" s="163"/>
      <c r="B74" s="47"/>
      <c r="C74" s="47"/>
    </row>
    <row r="75" spans="1:3">
      <c r="A75" s="163"/>
      <c r="B75" s="47"/>
      <c r="C75" s="47"/>
    </row>
    <row r="76" spans="1:3">
      <c r="A76" s="163"/>
      <c r="B76" s="47"/>
      <c r="C76" s="47"/>
    </row>
    <row r="77" spans="1:3">
      <c r="A77" s="163"/>
      <c r="B77" s="47"/>
      <c r="C77" s="47"/>
    </row>
    <row r="78" spans="1:3">
      <c r="A78" s="163"/>
      <c r="B78" s="47"/>
      <c r="C78" s="47"/>
    </row>
    <row r="79" spans="1:3">
      <c r="A79" s="163"/>
      <c r="B79" s="47"/>
      <c r="C79" s="47"/>
    </row>
    <row r="80" spans="1:3">
      <c r="A80" s="163"/>
      <c r="B80" s="47"/>
      <c r="C80" s="47"/>
    </row>
    <row r="81" spans="1:3">
      <c r="A81" s="163"/>
      <c r="B81" s="47"/>
      <c r="C81" s="47"/>
    </row>
    <row r="82" spans="1:3">
      <c r="A82" s="163"/>
      <c r="B82" s="17"/>
      <c r="C82" s="17"/>
    </row>
    <row r="83" spans="1:3">
      <c r="A83" s="163"/>
      <c r="B83" s="17"/>
      <c r="C83" s="17"/>
    </row>
    <row r="84" spans="1:3">
      <c r="A84" s="163"/>
      <c r="B84" s="17"/>
      <c r="C84" s="17"/>
    </row>
    <row r="85" spans="1:3">
      <c r="A85" s="163"/>
      <c r="B85" s="17"/>
      <c r="C85" s="17"/>
    </row>
    <row r="86" spans="1:3">
      <c r="A86" s="163"/>
      <c r="B86" s="17"/>
      <c r="C86" s="17"/>
    </row>
    <row r="87" spans="1:3">
      <c r="A87" s="163"/>
      <c r="B87" s="17"/>
      <c r="C87" s="17"/>
    </row>
    <row r="88" spans="1:3">
      <c r="A88" s="163"/>
      <c r="B88" s="17"/>
      <c r="C88" s="17"/>
    </row>
    <row r="89" spans="1:3">
      <c r="A89" s="163"/>
      <c r="B89" s="17"/>
      <c r="C89" s="17"/>
    </row>
    <row r="90" spans="1:3">
      <c r="A90" s="163"/>
      <c r="B90" s="17"/>
      <c r="C90" s="17"/>
    </row>
    <row r="91" spans="1:3">
      <c r="A91" s="163"/>
      <c r="B91" s="17"/>
      <c r="C91" s="17"/>
    </row>
    <row r="92" spans="1:3">
      <c r="A92" s="163"/>
      <c r="B92" s="17"/>
      <c r="C92" s="17"/>
    </row>
    <row r="93" spans="1:3">
      <c r="A93" s="163"/>
      <c r="B93" s="17"/>
      <c r="C93" s="17"/>
    </row>
    <row r="94" spans="1:3">
      <c r="A94" s="163"/>
      <c r="B94" s="17"/>
      <c r="C94" s="17"/>
    </row>
    <row r="95" spans="1:3">
      <c r="A95" s="163"/>
      <c r="B95" s="17"/>
      <c r="C95" s="17"/>
    </row>
    <row r="96" spans="1:3">
      <c r="A96" s="163"/>
      <c r="B96" s="17"/>
      <c r="C96" s="17"/>
    </row>
    <row r="97" spans="1:3">
      <c r="A97" s="163"/>
      <c r="B97" s="17"/>
      <c r="C97" s="17"/>
    </row>
    <row r="98" spans="1:3">
      <c r="A98" s="163"/>
      <c r="B98" s="17"/>
      <c r="C98" s="17"/>
    </row>
    <row r="99" spans="1:3">
      <c r="A99" s="163"/>
      <c r="B99" s="17"/>
      <c r="C99" s="17"/>
    </row>
    <row r="100" spans="1:3">
      <c r="A100" s="163"/>
      <c r="B100" s="17"/>
      <c r="C100" s="17"/>
    </row>
    <row r="101" spans="1:3">
      <c r="A101" s="163"/>
      <c r="B101" s="17"/>
      <c r="C101" s="17"/>
    </row>
    <row r="102" spans="1:3">
      <c r="A102" s="163"/>
      <c r="B102" s="17"/>
      <c r="C102" s="17"/>
    </row>
    <row r="103" spans="1:3">
      <c r="A103" s="163"/>
      <c r="B103" s="17"/>
      <c r="C103" s="17"/>
    </row>
    <row r="104" spans="1:3">
      <c r="A104" s="163"/>
      <c r="B104" s="17"/>
      <c r="C104" s="17"/>
    </row>
    <row r="105" spans="1:3">
      <c r="A105" s="163"/>
      <c r="B105" s="17"/>
      <c r="C105" s="17"/>
    </row>
    <row r="106" spans="1:3">
      <c r="A106" s="163"/>
      <c r="B106" s="17"/>
      <c r="C106" s="17"/>
    </row>
    <row r="107" spans="1:3">
      <c r="A107" s="163"/>
      <c r="B107" s="17"/>
      <c r="C107" s="17"/>
    </row>
    <row r="108" spans="1:3">
      <c r="A108" s="163"/>
      <c r="B108" s="17"/>
      <c r="C108" s="17"/>
    </row>
    <row r="109" spans="1:3">
      <c r="A109" s="163"/>
      <c r="B109" s="17"/>
      <c r="C109" s="17"/>
    </row>
    <row r="110" spans="1:3">
      <c r="A110" s="163"/>
      <c r="B110" s="17"/>
      <c r="C110" s="17"/>
    </row>
    <row r="111" spans="1:3">
      <c r="A111" s="163"/>
      <c r="B111" s="17"/>
      <c r="C111" s="17"/>
    </row>
    <row r="112" spans="1:3">
      <c r="A112" s="163"/>
      <c r="B112" s="17"/>
      <c r="C112" s="17"/>
    </row>
    <row r="113" spans="1:3">
      <c r="A113" s="163"/>
      <c r="B113" s="17"/>
      <c r="C113" s="17"/>
    </row>
    <row r="114" spans="1:3">
      <c r="A114" s="163"/>
      <c r="B114" s="17"/>
      <c r="C114" s="17"/>
    </row>
    <row r="115" spans="1:3">
      <c r="A115" s="163"/>
      <c r="B115" s="17"/>
      <c r="C115" s="17"/>
    </row>
    <row r="116" spans="1:3">
      <c r="A116" s="163"/>
      <c r="B116" s="17"/>
      <c r="C116" s="17"/>
    </row>
    <row r="117" spans="1:3">
      <c r="A117" s="163"/>
      <c r="B117" s="17"/>
      <c r="C117" s="17"/>
    </row>
    <row r="118" spans="1:3">
      <c r="A118" s="163"/>
      <c r="B118" s="17"/>
      <c r="C118" s="17"/>
    </row>
    <row r="119" spans="1:3">
      <c r="A119" s="163"/>
      <c r="B119" s="17"/>
      <c r="C119" s="17"/>
    </row>
    <row r="120" spans="1:3">
      <c r="A120" s="163"/>
      <c r="B120" s="17"/>
      <c r="C120" s="17"/>
    </row>
    <row r="121" spans="1:3">
      <c r="A121" s="163"/>
      <c r="B121" s="17"/>
      <c r="C121" s="17"/>
    </row>
    <row r="122" spans="1:3">
      <c r="A122" s="163"/>
      <c r="B122" s="17"/>
      <c r="C122" s="17"/>
    </row>
    <row r="123" spans="1:3">
      <c r="A123" s="163"/>
      <c r="B123" s="17"/>
      <c r="C123" s="17"/>
    </row>
    <row r="124" spans="1:3">
      <c r="A124" s="163"/>
      <c r="B124" s="17"/>
      <c r="C124" s="17"/>
    </row>
    <row r="125" spans="1:3">
      <c r="A125" s="163"/>
      <c r="B125" s="17"/>
      <c r="C125" s="17"/>
    </row>
    <row r="126" spans="1:3">
      <c r="A126" s="163"/>
      <c r="B126" s="17"/>
      <c r="C126" s="17"/>
    </row>
    <row r="127" spans="1:3">
      <c r="A127" s="163"/>
      <c r="B127" s="17"/>
      <c r="C127" s="17"/>
    </row>
    <row r="128" spans="1:3">
      <c r="A128" s="163"/>
      <c r="B128" s="17"/>
      <c r="C128" s="17"/>
    </row>
    <row r="129" spans="1:3">
      <c r="A129" s="163"/>
      <c r="B129" s="17"/>
      <c r="C129" s="17"/>
    </row>
    <row r="130" spans="1:3">
      <c r="A130" s="163"/>
      <c r="B130" s="17"/>
      <c r="C130" s="17"/>
    </row>
    <row r="131" spans="1:3">
      <c r="A131" s="163"/>
      <c r="B131" s="17"/>
      <c r="C131" s="17"/>
    </row>
    <row r="132" spans="1:3">
      <c r="A132" s="163"/>
      <c r="B132" s="17"/>
      <c r="C132" s="17"/>
    </row>
    <row r="133" spans="1:3">
      <c r="A133" s="163"/>
      <c r="B133" s="17"/>
      <c r="C133" s="17"/>
    </row>
    <row r="134" spans="1:3">
      <c r="A134" s="163"/>
      <c r="B134" s="17"/>
      <c r="C134" s="17"/>
    </row>
    <row r="135" spans="1:3">
      <c r="A135" s="163"/>
      <c r="B135" s="17"/>
      <c r="C135" s="17"/>
    </row>
    <row r="136" spans="1:3">
      <c r="A136" s="163"/>
      <c r="B136" s="17"/>
      <c r="C136" s="17"/>
    </row>
    <row r="137" spans="1:3">
      <c r="A137" s="163"/>
      <c r="B137" s="17"/>
      <c r="C137" s="17"/>
    </row>
    <row r="138" spans="1:3">
      <c r="A138" s="163"/>
      <c r="B138" s="17"/>
      <c r="C138" s="17"/>
    </row>
    <row r="139" spans="1:3">
      <c r="A139" s="163"/>
      <c r="B139" s="17"/>
      <c r="C139" s="17"/>
    </row>
    <row r="140" spans="1:3">
      <c r="A140" s="163"/>
      <c r="B140" s="17"/>
      <c r="C140" s="17"/>
    </row>
    <row r="141" spans="1:3">
      <c r="A141" s="163"/>
      <c r="B141" s="17"/>
      <c r="C141" s="17"/>
    </row>
    <row r="142" spans="1:3">
      <c r="A142" s="163"/>
      <c r="B142" s="17"/>
      <c r="C142" s="17"/>
    </row>
    <row r="143" spans="1:3">
      <c r="A143" s="163"/>
      <c r="B143" s="17"/>
      <c r="C143" s="17"/>
    </row>
    <row r="144" spans="1:3">
      <c r="A144" s="163"/>
      <c r="B144" s="17"/>
      <c r="C144" s="17"/>
    </row>
    <row r="145" spans="1:3">
      <c r="A145" s="163"/>
      <c r="B145" s="17"/>
      <c r="C145" s="17"/>
    </row>
    <row r="146" spans="1:3">
      <c r="A146" s="163"/>
      <c r="B146" s="17"/>
      <c r="C146" s="17"/>
    </row>
    <row r="147" spans="1:3">
      <c r="A147" s="163"/>
      <c r="B147" s="17"/>
      <c r="C147" s="17"/>
    </row>
    <row r="148" spans="1:3">
      <c r="A148" s="163"/>
      <c r="B148" s="17"/>
      <c r="C148" s="17"/>
    </row>
    <row r="149" spans="1:3">
      <c r="A149" s="163"/>
      <c r="B149" s="17"/>
      <c r="C149" s="17"/>
    </row>
    <row r="150" spans="1:3">
      <c r="A150" s="163"/>
      <c r="B150" s="17"/>
      <c r="C150" s="17"/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J223"/>
  <sheetViews>
    <sheetView zoomScaleNormal="100" workbookViewId="0">
      <selection activeCell="D15" sqref="D15"/>
    </sheetView>
  </sheetViews>
  <sheetFormatPr defaultColWidth="8.7109375" defaultRowHeight="15"/>
  <cols>
    <col min="1" max="1" width="19.5703125" style="35" customWidth="1"/>
    <col min="2" max="2" width="13" style="13" customWidth="1"/>
    <col min="3" max="3" width="24.140625" style="13" customWidth="1"/>
    <col min="4" max="4" width="9.140625" style="13" customWidth="1"/>
    <col min="5" max="5" width="17.140625" style="46" bestFit="1" customWidth="1"/>
    <col min="6" max="6" width="5.140625" style="13" customWidth="1"/>
    <col min="7" max="8" width="8.7109375" style="13"/>
    <col min="9" max="9" width="7.28515625" style="13" customWidth="1"/>
    <col min="10" max="10" width="7.7109375" style="13" customWidth="1"/>
    <col min="11" max="16384" width="8.7109375" style="13"/>
  </cols>
  <sheetData>
    <row r="1" spans="1:10" ht="17.25">
      <c r="A1" s="277" t="s">
        <v>767</v>
      </c>
      <c r="B1" s="278"/>
      <c r="C1" s="278"/>
      <c r="D1" s="278"/>
      <c r="E1" s="278"/>
      <c r="G1" s="16" t="s">
        <v>613</v>
      </c>
      <c r="H1" s="16" t="s">
        <v>827</v>
      </c>
      <c r="I1" s="16" t="s">
        <v>615</v>
      </c>
      <c r="J1" s="16" t="s">
        <v>581</v>
      </c>
    </row>
    <row r="2" spans="1:10">
      <c r="A2" s="101" t="s">
        <v>768</v>
      </c>
      <c r="B2" s="103"/>
      <c r="C2" s="103"/>
      <c r="D2" s="106">
        <v>345544</v>
      </c>
      <c r="E2" s="102" t="s">
        <v>462</v>
      </c>
      <c r="G2" s="150">
        <v>44652</v>
      </c>
      <c r="H2" s="23">
        <v>61068</v>
      </c>
      <c r="I2" s="23">
        <v>0</v>
      </c>
      <c r="J2" s="23">
        <v>0</v>
      </c>
    </row>
    <row r="3" spans="1:10">
      <c r="A3" s="104" t="s">
        <v>769</v>
      </c>
      <c r="B3" s="104"/>
      <c r="C3" s="101"/>
      <c r="D3" s="106">
        <f>H14</f>
        <v>143288</v>
      </c>
      <c r="E3" s="45"/>
      <c r="G3" s="150">
        <v>44682</v>
      </c>
      <c r="H3" s="23">
        <v>0</v>
      </c>
      <c r="I3" s="23">
        <v>0</v>
      </c>
      <c r="J3" s="23">
        <v>0</v>
      </c>
    </row>
    <row r="4" spans="1:10">
      <c r="A4" s="104" t="s">
        <v>770</v>
      </c>
      <c r="B4" s="104"/>
      <c r="C4" s="101"/>
      <c r="D4" s="106">
        <f>I14</f>
        <v>0</v>
      </c>
      <c r="E4" s="45"/>
      <c r="G4" s="150">
        <v>44713</v>
      </c>
      <c r="H4" s="23">
        <v>22700</v>
      </c>
      <c r="I4" s="23">
        <v>0</v>
      </c>
      <c r="J4" s="23">
        <v>0</v>
      </c>
    </row>
    <row r="5" spans="1:10">
      <c r="A5" s="104" t="s">
        <v>519</v>
      </c>
      <c r="B5" s="104"/>
      <c r="C5" s="101"/>
      <c r="D5" s="106">
        <f>D2+D3</f>
        <v>488832</v>
      </c>
      <c r="E5" s="45"/>
      <c r="G5" s="150">
        <v>44743</v>
      </c>
      <c r="H5" s="23">
        <v>59520</v>
      </c>
      <c r="I5" s="23">
        <v>0</v>
      </c>
      <c r="J5" s="23">
        <v>15500</v>
      </c>
    </row>
    <row r="6" spans="1:10">
      <c r="A6" s="104" t="s">
        <v>771</v>
      </c>
      <c r="B6" s="104"/>
      <c r="C6" s="101"/>
      <c r="D6" s="106">
        <f>J14</f>
        <v>15500</v>
      </c>
      <c r="E6" s="45"/>
      <c r="G6" s="150">
        <v>44774</v>
      </c>
      <c r="H6" s="23">
        <v>0</v>
      </c>
      <c r="I6" s="23">
        <v>0</v>
      </c>
      <c r="J6" s="23"/>
    </row>
    <row r="7" spans="1:10">
      <c r="A7" s="105" t="s">
        <v>520</v>
      </c>
      <c r="B7" s="23"/>
      <c r="C7" s="23"/>
      <c r="D7" s="108">
        <f>D5-D6</f>
        <v>473332</v>
      </c>
      <c r="E7" s="45"/>
      <c r="G7" s="150">
        <v>44805</v>
      </c>
      <c r="H7" s="23">
        <v>0</v>
      </c>
      <c r="I7" s="23">
        <v>0</v>
      </c>
      <c r="J7" s="23"/>
    </row>
    <row r="8" spans="1:10">
      <c r="G8" s="150">
        <v>44835</v>
      </c>
      <c r="H8" s="23">
        <v>0</v>
      </c>
      <c r="I8" s="23">
        <v>0</v>
      </c>
      <c r="J8" s="23"/>
    </row>
    <row r="9" spans="1:10">
      <c r="G9" s="150">
        <v>44866</v>
      </c>
      <c r="H9" s="23">
        <v>0</v>
      </c>
      <c r="I9" s="23">
        <v>0</v>
      </c>
      <c r="J9" s="23"/>
    </row>
    <row r="10" spans="1:10">
      <c r="A10" s="13"/>
      <c r="E10" s="13"/>
      <c r="G10" s="150">
        <v>44896</v>
      </c>
      <c r="H10" s="23">
        <v>0</v>
      </c>
      <c r="I10" s="23">
        <v>0</v>
      </c>
      <c r="J10" s="23"/>
    </row>
    <row r="11" spans="1:10">
      <c r="A11" s="13"/>
      <c r="E11" s="13"/>
      <c r="G11" s="150">
        <v>44927</v>
      </c>
      <c r="H11" s="23">
        <v>0</v>
      </c>
      <c r="I11" s="23">
        <v>0</v>
      </c>
      <c r="J11" s="23"/>
    </row>
    <row r="12" spans="1:10">
      <c r="A12" s="13"/>
      <c r="E12" s="13"/>
      <c r="G12" s="150">
        <v>44958</v>
      </c>
      <c r="H12" s="23">
        <v>0</v>
      </c>
      <c r="I12" s="23">
        <v>0</v>
      </c>
      <c r="J12" s="23"/>
    </row>
    <row r="13" spans="1:10">
      <c r="A13" s="13"/>
      <c r="E13" s="13"/>
      <c r="G13" s="150">
        <v>44986</v>
      </c>
      <c r="H13" s="23">
        <v>0</v>
      </c>
      <c r="I13" s="23">
        <v>0</v>
      </c>
      <c r="J13" s="23"/>
    </row>
    <row r="14" spans="1:10">
      <c r="A14" s="13"/>
      <c r="E14" s="13"/>
      <c r="G14" s="16" t="s">
        <v>31</v>
      </c>
      <c r="H14" s="16">
        <f>SUM(H2:H13)</f>
        <v>143288</v>
      </c>
      <c r="I14" s="16">
        <f>SUM(I2:I13)</f>
        <v>0</v>
      </c>
      <c r="J14" s="16">
        <f>SUM(J2:J13)</f>
        <v>15500</v>
      </c>
    </row>
    <row r="15" spans="1:10">
      <c r="A15" s="13"/>
      <c r="E15" s="13"/>
    </row>
    <row r="16" spans="1:10">
      <c r="A16" s="13"/>
      <c r="E16" s="13"/>
    </row>
    <row r="17" s="13" customFormat="1"/>
    <row r="18" s="13" customFormat="1"/>
    <row r="19" s="13" customFormat="1"/>
    <row r="20" s="13" customFormat="1"/>
    <row r="21" s="13" customFormat="1"/>
    <row r="22" s="13" customFormat="1"/>
    <row r="23" s="13" customFormat="1"/>
    <row r="24" s="13" customFormat="1"/>
    <row r="25" s="13" customFormat="1"/>
    <row r="26" s="13" customFormat="1"/>
    <row r="27" s="13" customFormat="1"/>
    <row r="28" s="13" customFormat="1"/>
    <row r="29" s="13" customFormat="1" ht="15" customHeight="1"/>
    <row r="30" s="13" customFormat="1"/>
    <row r="31" s="13" customFormat="1"/>
    <row r="32" s="13" customFormat="1"/>
    <row r="33" s="13" customFormat="1"/>
    <row r="34" s="13" customFormat="1"/>
    <row r="35" s="13" customFormat="1"/>
    <row r="36" s="13" customFormat="1"/>
    <row r="37" s="13" customFormat="1"/>
    <row r="38" s="13" customFormat="1"/>
    <row r="39" s="13" customFormat="1"/>
    <row r="40" s="13" customFormat="1"/>
    <row r="41" s="13" customFormat="1"/>
    <row r="42" s="13" customFormat="1"/>
    <row r="43" s="13" customFormat="1"/>
    <row r="44" s="13" customFormat="1"/>
    <row r="45" s="13" customFormat="1"/>
    <row r="46" s="13" customFormat="1"/>
    <row r="47" s="13" customFormat="1"/>
    <row r="48" s="13" customFormat="1"/>
    <row r="49" s="13" customFormat="1"/>
    <row r="50" s="13" customFormat="1"/>
    <row r="51" s="13" customFormat="1"/>
    <row r="52" s="13" customFormat="1"/>
    <row r="53" s="13" customFormat="1"/>
    <row r="54" s="13" customFormat="1"/>
    <row r="55" s="13" customFormat="1"/>
    <row r="56" s="13" customFormat="1"/>
    <row r="57" s="13" customFormat="1"/>
    <row r="58" s="13" customFormat="1"/>
    <row r="59" s="13" customFormat="1"/>
    <row r="60" s="13" customFormat="1"/>
    <row r="61" s="13" customFormat="1"/>
    <row r="62" s="13" customFormat="1"/>
    <row r="63" s="13" customFormat="1"/>
    <row r="64" s="13" customFormat="1"/>
    <row r="65" s="13" customFormat="1"/>
    <row r="66" s="13" customFormat="1"/>
    <row r="67" s="13" customFormat="1"/>
    <row r="68" s="13" customFormat="1"/>
    <row r="69" s="13" customFormat="1"/>
    <row r="70" s="13" customFormat="1"/>
    <row r="71" s="13" customFormat="1"/>
    <row r="72" s="13" customFormat="1"/>
    <row r="73" s="13" customFormat="1"/>
    <row r="74" s="13" customFormat="1"/>
    <row r="75" s="13" customFormat="1"/>
    <row r="76" s="13" customFormat="1"/>
    <row r="77" s="13" customFormat="1"/>
    <row r="78" s="13" customFormat="1"/>
    <row r="79" s="13" customFormat="1"/>
    <row r="80" s="13" customFormat="1"/>
    <row r="81" s="13" customFormat="1"/>
    <row r="82" s="13" customFormat="1"/>
    <row r="83" s="13" customFormat="1"/>
    <row r="84" s="13" customFormat="1"/>
    <row r="85" s="13" customFormat="1"/>
    <row r="86" s="13" customFormat="1"/>
    <row r="87" s="13" customFormat="1"/>
    <row r="88" s="13" customFormat="1"/>
    <row r="89" s="13" customFormat="1"/>
    <row r="90" s="13" customFormat="1"/>
    <row r="91" s="13" customFormat="1"/>
    <row r="92" s="13" customFormat="1"/>
    <row r="93" s="13" customFormat="1"/>
    <row r="94" s="13" customFormat="1"/>
    <row r="95" s="13" customFormat="1"/>
    <row r="96" s="13" customFormat="1"/>
    <row r="97" s="13" customFormat="1"/>
    <row r="98" s="13" customFormat="1"/>
    <row r="99" s="13" customFormat="1"/>
    <row r="100" s="13" customFormat="1"/>
    <row r="101" s="13" customFormat="1"/>
    <row r="102" s="13" customFormat="1"/>
    <row r="103" s="13" customFormat="1"/>
    <row r="104" s="13" customFormat="1"/>
    <row r="105" s="13" customFormat="1"/>
    <row r="106" s="13" customFormat="1"/>
    <row r="107" s="13" customFormat="1"/>
    <row r="108" s="13" customFormat="1"/>
    <row r="109" s="13" customFormat="1"/>
    <row r="110" s="13" customFormat="1"/>
    <row r="111" s="13" customFormat="1"/>
    <row r="112" s="13" customFormat="1"/>
    <row r="113" s="13" customFormat="1"/>
    <row r="114" s="13" customFormat="1"/>
    <row r="115" s="13" customFormat="1"/>
    <row r="116" s="13" customFormat="1"/>
    <row r="117" s="13" customFormat="1"/>
    <row r="118" s="13" customFormat="1"/>
    <row r="119" s="13" customFormat="1"/>
    <row r="120" s="13" customFormat="1"/>
    <row r="121" s="13" customFormat="1"/>
    <row r="122" s="13" customFormat="1"/>
    <row r="123" s="13" customFormat="1"/>
    <row r="124" s="13" customFormat="1"/>
    <row r="125" s="13" customFormat="1"/>
    <row r="126" s="13" customFormat="1"/>
    <row r="127" s="13" customFormat="1"/>
    <row r="128" s="13" customFormat="1"/>
    <row r="129" s="13" customFormat="1"/>
    <row r="130" s="13" customFormat="1"/>
    <row r="131" s="13" customFormat="1"/>
    <row r="132" s="13" customFormat="1"/>
    <row r="133" s="13" customFormat="1"/>
    <row r="134" s="13" customFormat="1"/>
    <row r="135" s="13" customFormat="1"/>
    <row r="136" s="13" customFormat="1"/>
    <row r="137" s="13" customFormat="1"/>
    <row r="138" s="13" customFormat="1"/>
    <row r="139" s="13" customFormat="1"/>
    <row r="140" s="13" customFormat="1"/>
    <row r="141" s="13" customFormat="1"/>
    <row r="142" s="13" customFormat="1"/>
    <row r="143" s="13" customFormat="1"/>
    <row r="144" s="13" customFormat="1"/>
    <row r="145" s="13" customFormat="1"/>
    <row r="146" s="13" customFormat="1"/>
    <row r="147" s="13" customFormat="1"/>
    <row r="148" s="13" customFormat="1"/>
    <row r="149" s="13" customFormat="1"/>
    <row r="150" s="13" customFormat="1"/>
    <row r="151" s="13" customFormat="1"/>
    <row r="152" s="13" customFormat="1"/>
    <row r="153" s="13" customFormat="1"/>
    <row r="154" s="13" customFormat="1"/>
    <row r="155" s="13" customFormat="1"/>
    <row r="156" s="13" customFormat="1"/>
    <row r="157" s="13" customFormat="1"/>
    <row r="158" s="13" customFormat="1"/>
    <row r="159" s="13" customFormat="1"/>
    <row r="160" s="13" customFormat="1"/>
    <row r="161" s="13" customFormat="1"/>
    <row r="162" s="13" customFormat="1"/>
    <row r="163" s="13" customFormat="1"/>
    <row r="164" s="13" customFormat="1"/>
    <row r="165" s="13" customFormat="1"/>
    <row r="166" s="13" customFormat="1"/>
    <row r="167" s="13" customFormat="1"/>
    <row r="168" s="13" customFormat="1"/>
    <row r="169" s="13" customFormat="1"/>
    <row r="170" s="13" customFormat="1"/>
    <row r="171" s="13" customFormat="1"/>
    <row r="172" s="13" customFormat="1"/>
    <row r="173" s="13" customFormat="1"/>
    <row r="174" s="13" customFormat="1"/>
    <row r="175" s="13" customFormat="1"/>
    <row r="176" s="13" customFormat="1"/>
    <row r="177" s="13" customFormat="1"/>
    <row r="178" s="13" customFormat="1"/>
    <row r="179" s="13" customFormat="1"/>
    <row r="180" s="13" customFormat="1"/>
    <row r="181" s="13" customFormat="1"/>
    <row r="182" s="13" customFormat="1"/>
    <row r="183" s="13" customFormat="1"/>
    <row r="184" s="13" customFormat="1"/>
    <row r="185" s="13" customFormat="1"/>
    <row r="186" s="13" customFormat="1"/>
    <row r="187" s="13" customFormat="1"/>
    <row r="188" s="13" customFormat="1"/>
    <row r="189" s="13" customFormat="1"/>
    <row r="190" s="13" customFormat="1"/>
    <row r="191" s="13" customFormat="1"/>
    <row r="192" s="13" customFormat="1"/>
    <row r="193" s="13" customFormat="1"/>
    <row r="194" s="13" customFormat="1"/>
    <row r="195" s="13" customFormat="1"/>
    <row r="196" s="13" customFormat="1"/>
    <row r="197" s="13" customFormat="1"/>
    <row r="198" s="13" customFormat="1"/>
    <row r="199" s="13" customFormat="1"/>
    <row r="200" s="13" customFormat="1"/>
    <row r="201" s="13" customFormat="1"/>
    <row r="202" s="13" customFormat="1"/>
    <row r="203" s="13" customFormat="1"/>
    <row r="204" s="13" customFormat="1"/>
    <row r="205" s="13" customFormat="1"/>
    <row r="206" s="13" customFormat="1"/>
    <row r="207" s="13" customFormat="1"/>
    <row r="208" s="13" customFormat="1"/>
    <row r="209" s="13" customFormat="1"/>
    <row r="210" s="13" customFormat="1"/>
    <row r="211" s="13" customFormat="1"/>
    <row r="212" s="13" customFormat="1"/>
    <row r="213" s="13" customFormat="1"/>
    <row r="214" s="13" customFormat="1"/>
    <row r="215" s="13" customFormat="1"/>
    <row r="216" s="13" customFormat="1"/>
    <row r="217" s="13" customFormat="1"/>
    <row r="218" s="13" customFormat="1"/>
    <row r="219" s="13" customFormat="1"/>
    <row r="220" s="13" customFormat="1"/>
    <row r="221" s="13" customFormat="1"/>
    <row r="222" s="13" customFormat="1"/>
    <row r="223" s="13" customFormat="1"/>
  </sheetData>
  <mergeCells count="1">
    <mergeCell ref="A1:E1"/>
  </mergeCell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Q273"/>
  <sheetViews>
    <sheetView zoomScaleNormal="100" workbookViewId="0">
      <pane xSplit="12" ySplit="10" topLeftCell="M11" activePane="bottomRight" state="frozen"/>
      <selection pane="topRight" activeCell="M1" sqref="M1"/>
      <selection pane="bottomLeft" activeCell="A11" sqref="A11"/>
      <selection pane="bottomRight" activeCell="I3" sqref="I3"/>
    </sheetView>
  </sheetViews>
  <sheetFormatPr defaultColWidth="8.85546875" defaultRowHeight="15"/>
  <cols>
    <col min="1" max="1" width="4" style="42" bestFit="1" customWidth="1"/>
    <col min="2" max="2" width="14.5703125" style="42" customWidth="1"/>
    <col min="3" max="3" width="11" style="42" bestFit="1" customWidth="1"/>
    <col min="4" max="4" width="17.28515625" style="42" customWidth="1"/>
    <col min="5" max="5" width="5.140625" style="42" bestFit="1" customWidth="1"/>
    <col min="6" max="6" width="12.140625" style="42" customWidth="1"/>
    <col min="7" max="7" width="13.5703125" style="42" customWidth="1"/>
    <col min="8" max="8" width="14.5703125" style="42" customWidth="1"/>
    <col min="9" max="9" width="11.42578125" style="42" customWidth="1"/>
    <col min="10" max="10" width="8.5703125" style="42" customWidth="1"/>
    <col min="11" max="11" width="10.140625" style="42" customWidth="1"/>
    <col min="12" max="12" width="17.28515625" style="42" customWidth="1"/>
    <col min="13" max="13" width="8.7109375" style="42" customWidth="1"/>
    <col min="14" max="14" width="9.28515625" style="42" customWidth="1"/>
    <col min="15" max="15" width="44.42578125" style="42" customWidth="1"/>
    <col min="16" max="16" width="48.5703125" style="42" customWidth="1"/>
    <col min="17" max="16384" width="8.85546875" style="42"/>
  </cols>
  <sheetData>
    <row r="1" spans="1:16">
      <c r="A1" s="175"/>
      <c r="B1" s="279" t="s">
        <v>1141</v>
      </c>
      <c r="C1" s="279"/>
      <c r="D1" s="279"/>
      <c r="E1" s="279"/>
      <c r="F1" s="279"/>
      <c r="G1" s="279"/>
      <c r="H1" s="279"/>
      <c r="I1" s="279"/>
      <c r="J1" s="279"/>
      <c r="K1" s="279"/>
      <c r="L1" s="280" t="s">
        <v>1010</v>
      </c>
      <c r="M1" s="281"/>
      <c r="N1" s="282"/>
    </row>
    <row r="2" spans="1:16" ht="24">
      <c r="A2" s="175" t="s">
        <v>458</v>
      </c>
      <c r="B2" s="175" t="s">
        <v>619</v>
      </c>
      <c r="C2" s="174" t="s">
        <v>62</v>
      </c>
      <c r="D2" s="175" t="s">
        <v>61</v>
      </c>
      <c r="E2" s="175" t="s">
        <v>573</v>
      </c>
      <c r="F2" s="174" t="s">
        <v>1008</v>
      </c>
      <c r="G2" s="174" t="s">
        <v>1009</v>
      </c>
      <c r="H2" s="174" t="s">
        <v>1011</v>
      </c>
      <c r="I2" s="174" t="s">
        <v>1015</v>
      </c>
      <c r="J2" s="175" t="s">
        <v>30</v>
      </c>
      <c r="K2" s="175" t="s">
        <v>11</v>
      </c>
      <c r="L2" s="174" t="s">
        <v>1012</v>
      </c>
      <c r="M2" s="175" t="s">
        <v>1016</v>
      </c>
      <c r="N2" s="175" t="s">
        <v>30</v>
      </c>
      <c r="P2" s="42" t="s">
        <v>1137</v>
      </c>
    </row>
    <row r="3" spans="1:16" ht="31.5" customHeight="1">
      <c r="A3" s="176"/>
      <c r="B3" s="176"/>
      <c r="C3" s="176"/>
      <c r="D3" s="176"/>
      <c r="E3" s="176"/>
      <c r="F3" s="176">
        <f>SUM(F4:F262)</f>
        <v>1328100</v>
      </c>
      <c r="G3" s="176">
        <f>SUM(G4:G262)</f>
        <v>136900</v>
      </c>
      <c r="H3" s="176">
        <f>SUM(H4:H2973)</f>
        <v>2432900</v>
      </c>
      <c r="I3" s="176">
        <f>SUM(I4:I273)</f>
        <v>1913300</v>
      </c>
      <c r="J3" s="176">
        <f>SUM(J4:J273)</f>
        <v>1847700</v>
      </c>
      <c r="K3" s="176"/>
      <c r="L3" s="176">
        <f>SUM(L4:L273)</f>
        <v>741700</v>
      </c>
      <c r="M3" s="176">
        <f>SUM(M4:M273)</f>
        <v>232550</v>
      </c>
      <c r="N3" s="176">
        <f>SUM(N4:N273)</f>
        <v>646050</v>
      </c>
    </row>
    <row r="4" spans="1:16">
      <c r="A4" s="6">
        <v>1</v>
      </c>
      <c r="B4" s="6" t="s">
        <v>636</v>
      </c>
      <c r="C4" s="6">
        <v>9828137433</v>
      </c>
      <c r="D4" s="6" t="s">
        <v>64</v>
      </c>
      <c r="E4" s="6">
        <v>11</v>
      </c>
      <c r="F4" s="6">
        <v>0</v>
      </c>
      <c r="G4" s="6">
        <v>0</v>
      </c>
      <c r="H4" s="6">
        <v>25000</v>
      </c>
      <c r="I4" s="6">
        <v>25000</v>
      </c>
      <c r="J4" s="6">
        <f>F4+H4-I4</f>
        <v>0</v>
      </c>
      <c r="K4" s="6"/>
      <c r="L4" s="6">
        <v>0</v>
      </c>
      <c r="M4" s="6">
        <v>0</v>
      </c>
      <c r="N4" s="6">
        <f t="shared" ref="N4:N63" si="0">G4+L4-M4</f>
        <v>0</v>
      </c>
      <c r="P4" s="42" t="s">
        <v>1125</v>
      </c>
    </row>
    <row r="5" spans="1:16">
      <c r="A5" s="177">
        <v>2</v>
      </c>
      <c r="B5" s="177" t="s">
        <v>637</v>
      </c>
      <c r="C5" s="177"/>
      <c r="D5" s="177" t="s">
        <v>84</v>
      </c>
      <c r="E5" s="177">
        <v>11</v>
      </c>
      <c r="F5" s="177">
        <v>10000</v>
      </c>
      <c r="G5" s="177"/>
      <c r="H5" s="177">
        <v>0</v>
      </c>
      <c r="I5" s="177">
        <v>10000</v>
      </c>
      <c r="J5" s="177">
        <f t="shared" ref="J5:J63" si="1">F5+H5-I5</f>
        <v>0</v>
      </c>
      <c r="K5" s="178" t="s">
        <v>612</v>
      </c>
      <c r="L5" s="177">
        <v>0</v>
      </c>
      <c r="M5" s="177">
        <v>0</v>
      </c>
      <c r="N5" s="177">
        <f t="shared" si="0"/>
        <v>0</v>
      </c>
    </row>
    <row r="6" spans="1:16">
      <c r="A6" s="6">
        <v>3</v>
      </c>
      <c r="B6" s="6" t="s">
        <v>638</v>
      </c>
      <c r="C6" s="6"/>
      <c r="D6" s="6" t="s">
        <v>86</v>
      </c>
      <c r="E6" s="6">
        <v>11</v>
      </c>
      <c r="F6" s="6">
        <v>0</v>
      </c>
      <c r="G6" s="6">
        <v>0</v>
      </c>
      <c r="H6" s="6">
        <v>0</v>
      </c>
      <c r="I6" s="6">
        <v>0</v>
      </c>
      <c r="J6" s="6">
        <f t="shared" si="1"/>
        <v>0</v>
      </c>
      <c r="K6" s="6"/>
      <c r="L6" s="6">
        <v>0</v>
      </c>
      <c r="M6" s="6">
        <v>0</v>
      </c>
      <c r="N6" s="6">
        <f t="shared" si="0"/>
        <v>0</v>
      </c>
      <c r="P6" s="42" t="s">
        <v>1125</v>
      </c>
    </row>
    <row r="7" spans="1:16">
      <c r="A7" s="177">
        <v>4</v>
      </c>
      <c r="B7" s="177" t="s">
        <v>640</v>
      </c>
      <c r="C7" s="177">
        <v>6367673001</v>
      </c>
      <c r="D7" s="177" t="s">
        <v>88</v>
      </c>
      <c r="E7" s="177">
        <v>11</v>
      </c>
      <c r="F7" s="177">
        <v>13000</v>
      </c>
      <c r="G7" s="177">
        <v>800</v>
      </c>
      <c r="H7" s="177">
        <v>0</v>
      </c>
      <c r="I7" s="177">
        <v>10000</v>
      </c>
      <c r="J7" s="177">
        <f t="shared" si="1"/>
        <v>3000</v>
      </c>
      <c r="K7" s="178" t="s">
        <v>612</v>
      </c>
      <c r="L7" s="177">
        <v>0</v>
      </c>
      <c r="M7" s="177">
        <v>0</v>
      </c>
      <c r="N7" s="177">
        <f t="shared" si="0"/>
        <v>800</v>
      </c>
      <c r="O7" s="42" t="s">
        <v>1130</v>
      </c>
    </row>
    <row r="8" spans="1:16" ht="30">
      <c r="A8" s="6">
        <v>5</v>
      </c>
      <c r="B8" s="6" t="s">
        <v>1098</v>
      </c>
      <c r="C8" s="6">
        <v>9667010130</v>
      </c>
      <c r="D8" s="6" t="s">
        <v>641</v>
      </c>
      <c r="E8" s="6">
        <v>11</v>
      </c>
      <c r="F8" s="6">
        <v>18000</v>
      </c>
      <c r="G8" s="6">
        <v>0</v>
      </c>
      <c r="H8" s="6">
        <v>17000</v>
      </c>
      <c r="I8" s="6">
        <v>24000</v>
      </c>
      <c r="J8" s="6">
        <f t="shared" si="1"/>
        <v>11000</v>
      </c>
      <c r="K8" s="6"/>
      <c r="L8" s="6">
        <v>0</v>
      </c>
      <c r="M8" s="6">
        <v>0</v>
      </c>
      <c r="N8" s="6">
        <f t="shared" si="0"/>
        <v>0</v>
      </c>
      <c r="P8" s="42" t="s">
        <v>1125</v>
      </c>
    </row>
    <row r="9" spans="1:16" ht="30">
      <c r="A9" s="177">
        <v>6</v>
      </c>
      <c r="B9" s="177" t="s">
        <v>646</v>
      </c>
      <c r="C9" s="177">
        <v>9783350081</v>
      </c>
      <c r="D9" s="177" t="s">
        <v>645</v>
      </c>
      <c r="E9" s="177">
        <v>11</v>
      </c>
      <c r="F9" s="177">
        <v>0</v>
      </c>
      <c r="G9" s="177">
        <v>0</v>
      </c>
      <c r="H9" s="177">
        <v>35000</v>
      </c>
      <c r="I9" s="177">
        <v>10000</v>
      </c>
      <c r="J9" s="177">
        <f t="shared" si="1"/>
        <v>25000</v>
      </c>
      <c r="K9" s="177"/>
      <c r="L9" s="177">
        <v>5000</v>
      </c>
      <c r="M9" s="177">
        <v>5000</v>
      </c>
      <c r="N9" s="177">
        <f t="shared" si="0"/>
        <v>0</v>
      </c>
      <c r="P9" s="42" t="s">
        <v>1138</v>
      </c>
    </row>
    <row r="10" spans="1:16" ht="30">
      <c r="A10" s="191">
        <v>7</v>
      </c>
      <c r="B10" s="191" t="s">
        <v>647</v>
      </c>
      <c r="C10" s="191">
        <v>9351353902</v>
      </c>
      <c r="D10" s="191" t="s">
        <v>1131</v>
      </c>
      <c r="E10" s="191">
        <v>9</v>
      </c>
      <c r="F10" s="191">
        <v>24900</v>
      </c>
      <c r="G10" s="191">
        <v>2000</v>
      </c>
      <c r="H10" s="191">
        <v>26200</v>
      </c>
      <c r="I10" s="191">
        <v>24900</v>
      </c>
      <c r="J10" s="191">
        <f t="shared" si="1"/>
        <v>26200</v>
      </c>
      <c r="K10" s="191"/>
      <c r="L10" s="191">
        <v>10000</v>
      </c>
      <c r="M10" s="191">
        <v>2000</v>
      </c>
      <c r="N10" s="191">
        <f t="shared" si="0"/>
        <v>10000</v>
      </c>
    </row>
    <row r="11" spans="1:16">
      <c r="A11" s="6"/>
      <c r="B11" s="6"/>
      <c r="C11" s="6"/>
      <c r="D11" s="6" t="s">
        <v>650</v>
      </c>
      <c r="E11" s="6">
        <v>7</v>
      </c>
      <c r="F11" s="6"/>
      <c r="G11" s="6"/>
      <c r="H11" s="6">
        <v>17100</v>
      </c>
      <c r="I11" s="6"/>
      <c r="J11" s="6">
        <f t="shared" si="1"/>
        <v>17100</v>
      </c>
      <c r="K11" s="6"/>
      <c r="L11" s="6">
        <v>0</v>
      </c>
      <c r="M11" s="6">
        <v>0</v>
      </c>
      <c r="N11" s="6">
        <f t="shared" si="0"/>
        <v>0</v>
      </c>
    </row>
    <row r="12" spans="1:16">
      <c r="A12" s="6"/>
      <c r="B12" s="6"/>
      <c r="C12" s="6"/>
      <c r="D12" s="6" t="s">
        <v>1013</v>
      </c>
      <c r="E12" s="6">
        <v>1</v>
      </c>
      <c r="F12" s="6"/>
      <c r="G12" s="6"/>
      <c r="H12" s="6">
        <v>0</v>
      </c>
      <c r="I12" s="6">
        <v>0</v>
      </c>
      <c r="J12" s="6">
        <f t="shared" si="1"/>
        <v>0</v>
      </c>
      <c r="K12" s="6"/>
      <c r="L12" s="6">
        <v>0</v>
      </c>
      <c r="M12" s="6">
        <v>0</v>
      </c>
      <c r="N12" s="6">
        <f t="shared" si="0"/>
        <v>0</v>
      </c>
    </row>
    <row r="13" spans="1:16" ht="30">
      <c r="A13" s="177">
        <v>8</v>
      </c>
      <c r="B13" s="177" t="s">
        <v>1014</v>
      </c>
      <c r="C13" s="177">
        <v>9783279233</v>
      </c>
      <c r="D13" s="177" t="s">
        <v>652</v>
      </c>
      <c r="E13" s="177">
        <v>11</v>
      </c>
      <c r="F13" s="177">
        <v>30000</v>
      </c>
      <c r="G13" s="177">
        <v>0</v>
      </c>
      <c r="H13" s="177">
        <v>0</v>
      </c>
      <c r="I13" s="177">
        <v>30000</v>
      </c>
      <c r="J13" s="177">
        <f t="shared" si="1"/>
        <v>0</v>
      </c>
      <c r="K13" s="177" t="s">
        <v>612</v>
      </c>
      <c r="L13" s="177">
        <v>0</v>
      </c>
      <c r="M13" s="177">
        <v>0</v>
      </c>
      <c r="N13" s="177">
        <f t="shared" si="0"/>
        <v>0</v>
      </c>
    </row>
    <row r="14" spans="1:16">
      <c r="A14" s="177"/>
      <c r="B14" s="177"/>
      <c r="C14" s="177"/>
      <c r="D14" s="177" t="s">
        <v>653</v>
      </c>
      <c r="E14" s="177">
        <v>8</v>
      </c>
      <c r="F14" s="177"/>
      <c r="G14" s="177"/>
      <c r="H14" s="177">
        <v>19600</v>
      </c>
      <c r="I14" s="177"/>
      <c r="J14" s="177">
        <f t="shared" si="1"/>
        <v>19600</v>
      </c>
      <c r="K14" s="177"/>
      <c r="L14" s="177">
        <v>5000</v>
      </c>
      <c r="M14" s="177">
        <v>0</v>
      </c>
      <c r="N14" s="177">
        <f t="shared" si="0"/>
        <v>5000</v>
      </c>
    </row>
    <row r="15" spans="1:16">
      <c r="A15" s="177"/>
      <c r="B15" s="177"/>
      <c r="C15" s="177"/>
      <c r="D15" s="177" t="s">
        <v>654</v>
      </c>
      <c r="E15" s="177">
        <v>11</v>
      </c>
      <c r="F15" s="177"/>
      <c r="G15" s="177"/>
      <c r="H15" s="177">
        <v>0</v>
      </c>
      <c r="I15" s="177"/>
      <c r="J15" s="177">
        <f t="shared" si="1"/>
        <v>0</v>
      </c>
      <c r="K15" s="177" t="s">
        <v>612</v>
      </c>
      <c r="L15" s="177">
        <v>0</v>
      </c>
      <c r="M15" s="177">
        <v>0</v>
      </c>
      <c r="N15" s="177">
        <f t="shared" si="0"/>
        <v>0</v>
      </c>
    </row>
    <row r="16" spans="1:16" ht="30">
      <c r="A16" s="6">
        <v>9</v>
      </c>
      <c r="B16" s="6" t="s">
        <v>655</v>
      </c>
      <c r="C16" s="6">
        <v>9166821332</v>
      </c>
      <c r="D16" s="6" t="s">
        <v>89</v>
      </c>
      <c r="E16" s="6">
        <v>10</v>
      </c>
      <c r="F16" s="6">
        <v>11000</v>
      </c>
      <c r="G16" s="6">
        <v>1500</v>
      </c>
      <c r="H16" s="6">
        <v>0</v>
      </c>
      <c r="I16" s="6">
        <v>0</v>
      </c>
      <c r="J16" s="6">
        <f t="shared" si="1"/>
        <v>11000</v>
      </c>
      <c r="K16" s="180" t="s">
        <v>612</v>
      </c>
      <c r="L16" s="6">
        <v>0</v>
      </c>
      <c r="M16" s="6">
        <v>0</v>
      </c>
      <c r="N16" s="6">
        <f t="shared" si="0"/>
        <v>1500</v>
      </c>
    </row>
    <row r="17" spans="1:14">
      <c r="A17" s="177">
        <v>10</v>
      </c>
      <c r="B17" s="177" t="s">
        <v>656</v>
      </c>
      <c r="C17" s="177"/>
      <c r="D17" s="177" t="s">
        <v>90</v>
      </c>
      <c r="E17" s="177">
        <v>11</v>
      </c>
      <c r="F17" s="177">
        <v>17000</v>
      </c>
      <c r="G17" s="177">
        <v>0</v>
      </c>
      <c r="H17" s="177">
        <v>0</v>
      </c>
      <c r="I17" s="177">
        <v>17000</v>
      </c>
      <c r="J17" s="177">
        <f t="shared" si="1"/>
        <v>0</v>
      </c>
      <c r="K17" s="178" t="s">
        <v>612</v>
      </c>
      <c r="L17" s="177">
        <v>0</v>
      </c>
      <c r="M17" s="177">
        <v>0</v>
      </c>
      <c r="N17" s="177">
        <f t="shared" si="0"/>
        <v>0</v>
      </c>
    </row>
    <row r="18" spans="1:14">
      <c r="A18" s="179">
        <v>11</v>
      </c>
      <c r="B18" s="179" t="s">
        <v>628</v>
      </c>
      <c r="C18" s="179">
        <v>9887882014</v>
      </c>
      <c r="D18" s="179" t="s">
        <v>78</v>
      </c>
      <c r="E18" s="179">
        <v>11</v>
      </c>
      <c r="F18" s="179">
        <v>10000</v>
      </c>
      <c r="G18" s="179">
        <v>1000</v>
      </c>
      <c r="H18" s="179">
        <v>35000</v>
      </c>
      <c r="I18" s="179">
        <v>10000</v>
      </c>
      <c r="J18" s="179">
        <f t="shared" si="1"/>
        <v>35000</v>
      </c>
      <c r="K18" s="179"/>
      <c r="L18" s="179">
        <v>5000</v>
      </c>
      <c r="M18" s="179">
        <v>0</v>
      </c>
      <c r="N18" s="179">
        <f t="shared" si="0"/>
        <v>6000</v>
      </c>
    </row>
    <row r="19" spans="1:14" ht="30">
      <c r="A19" s="177">
        <v>12</v>
      </c>
      <c r="B19" s="177" t="s">
        <v>661</v>
      </c>
      <c r="C19" s="177">
        <v>6375770954</v>
      </c>
      <c r="D19" s="177" t="s">
        <v>660</v>
      </c>
      <c r="E19" s="177">
        <v>11</v>
      </c>
      <c r="F19" s="177">
        <v>20000</v>
      </c>
      <c r="G19" s="177">
        <v>0</v>
      </c>
      <c r="H19" s="177"/>
      <c r="I19" s="177"/>
      <c r="J19" s="177">
        <f t="shared" si="1"/>
        <v>20000</v>
      </c>
      <c r="K19" s="178" t="s">
        <v>612</v>
      </c>
      <c r="L19" s="177">
        <v>0</v>
      </c>
      <c r="M19" s="177">
        <v>0</v>
      </c>
      <c r="N19" s="177">
        <f t="shared" si="0"/>
        <v>0</v>
      </c>
    </row>
    <row r="20" spans="1:14">
      <c r="A20" s="6">
        <v>13</v>
      </c>
      <c r="B20" s="6" t="s">
        <v>665</v>
      </c>
      <c r="C20" s="6">
        <v>9636375551</v>
      </c>
      <c r="D20" s="6" t="s">
        <v>662</v>
      </c>
      <c r="E20" s="6">
        <v>11</v>
      </c>
      <c r="F20" s="6">
        <v>0</v>
      </c>
      <c r="G20" s="6">
        <v>0</v>
      </c>
      <c r="H20" s="6">
        <v>25000</v>
      </c>
      <c r="I20" s="6">
        <v>25000</v>
      </c>
      <c r="J20" s="6">
        <f t="shared" si="1"/>
        <v>0</v>
      </c>
      <c r="K20" s="6"/>
      <c r="L20" s="6">
        <v>5000</v>
      </c>
      <c r="M20" s="6">
        <v>0</v>
      </c>
      <c r="N20" s="6">
        <f t="shared" si="0"/>
        <v>5000</v>
      </c>
    </row>
    <row r="21" spans="1:14">
      <c r="A21" s="6"/>
      <c r="B21" s="6"/>
      <c r="C21" s="6"/>
      <c r="D21" s="6" t="s">
        <v>105</v>
      </c>
      <c r="E21" s="6">
        <v>10</v>
      </c>
      <c r="F21" s="6">
        <v>0</v>
      </c>
      <c r="G21" s="6">
        <v>0</v>
      </c>
      <c r="H21" s="6">
        <v>20000</v>
      </c>
      <c r="I21" s="6">
        <v>0</v>
      </c>
      <c r="J21" s="6">
        <f t="shared" si="1"/>
        <v>20000</v>
      </c>
      <c r="K21" s="6"/>
      <c r="L21" s="6">
        <v>5000</v>
      </c>
      <c r="M21" s="6">
        <v>0</v>
      </c>
      <c r="N21" s="6">
        <f t="shared" si="0"/>
        <v>5000</v>
      </c>
    </row>
    <row r="22" spans="1:14">
      <c r="A22" s="177">
        <v>14</v>
      </c>
      <c r="B22" s="177" t="s">
        <v>670</v>
      </c>
      <c r="C22" s="177">
        <v>8058762864</v>
      </c>
      <c r="D22" s="177" t="s">
        <v>668</v>
      </c>
      <c r="E22" s="177">
        <v>11</v>
      </c>
      <c r="F22" s="177">
        <v>5000</v>
      </c>
      <c r="G22" s="177">
        <v>400</v>
      </c>
      <c r="H22" s="177">
        <v>0</v>
      </c>
      <c r="I22" s="177">
        <v>5000</v>
      </c>
      <c r="J22" s="177">
        <f t="shared" si="1"/>
        <v>0</v>
      </c>
      <c r="K22" s="178" t="s">
        <v>612</v>
      </c>
      <c r="L22" s="177">
        <v>0</v>
      </c>
      <c r="M22" s="177">
        <v>400</v>
      </c>
      <c r="N22" s="177">
        <f t="shared" si="0"/>
        <v>0</v>
      </c>
    </row>
    <row r="23" spans="1:14">
      <c r="A23" s="177"/>
      <c r="B23" s="177"/>
      <c r="C23" s="177"/>
      <c r="D23" s="177" t="s">
        <v>1132</v>
      </c>
      <c r="E23" s="177">
        <v>8</v>
      </c>
      <c r="F23" s="177">
        <v>0</v>
      </c>
      <c r="G23" s="177">
        <v>400</v>
      </c>
      <c r="H23" s="177">
        <v>11000</v>
      </c>
      <c r="I23" s="177">
        <v>5700</v>
      </c>
      <c r="J23" s="177">
        <f t="shared" si="1"/>
        <v>5300</v>
      </c>
      <c r="K23" s="177"/>
      <c r="L23" s="177">
        <v>3600</v>
      </c>
      <c r="M23" s="177">
        <v>2400</v>
      </c>
      <c r="N23" s="177">
        <f t="shared" si="0"/>
        <v>1600</v>
      </c>
    </row>
    <row r="24" spans="1:14" ht="30">
      <c r="A24" s="6">
        <v>15</v>
      </c>
      <c r="B24" s="6" t="s">
        <v>674</v>
      </c>
      <c r="C24" s="6">
        <v>8094911693</v>
      </c>
      <c r="D24" s="6" t="s">
        <v>673</v>
      </c>
      <c r="E24" s="6">
        <v>11</v>
      </c>
      <c r="F24" s="6">
        <v>8000</v>
      </c>
      <c r="G24" s="6">
        <v>0</v>
      </c>
      <c r="H24" s="6"/>
      <c r="I24" s="6"/>
      <c r="J24" s="6">
        <f t="shared" si="1"/>
        <v>8000</v>
      </c>
      <c r="K24" s="180" t="s">
        <v>612</v>
      </c>
      <c r="L24" s="6">
        <v>0</v>
      </c>
      <c r="M24" s="6"/>
      <c r="N24" s="6">
        <f t="shared" si="0"/>
        <v>0</v>
      </c>
    </row>
    <row r="25" spans="1:14" ht="30">
      <c r="A25" s="177">
        <v>16</v>
      </c>
      <c r="B25" s="177" t="s">
        <v>675</v>
      </c>
      <c r="C25" s="177">
        <v>7297872191</v>
      </c>
      <c r="D25" s="177" t="s">
        <v>99</v>
      </c>
      <c r="E25" s="177">
        <v>10</v>
      </c>
      <c r="F25" s="177">
        <v>38000</v>
      </c>
      <c r="G25" s="177">
        <v>0</v>
      </c>
      <c r="H25" s="177">
        <v>29400</v>
      </c>
      <c r="I25" s="177">
        <v>48000</v>
      </c>
      <c r="J25" s="177">
        <f t="shared" si="1"/>
        <v>19400</v>
      </c>
      <c r="K25" s="177" t="s">
        <v>663</v>
      </c>
      <c r="L25" s="177">
        <v>5000</v>
      </c>
      <c r="M25" s="177"/>
      <c r="N25" s="177">
        <f t="shared" si="0"/>
        <v>5000</v>
      </c>
    </row>
    <row r="26" spans="1:14">
      <c r="A26" s="177"/>
      <c r="B26" s="177"/>
      <c r="C26" s="177"/>
      <c r="D26" s="177" t="s">
        <v>100</v>
      </c>
      <c r="E26" s="177">
        <v>10</v>
      </c>
      <c r="F26" s="177">
        <v>0</v>
      </c>
      <c r="G26" s="177">
        <v>0</v>
      </c>
      <c r="H26" s="177">
        <v>29400</v>
      </c>
      <c r="I26" s="177"/>
      <c r="J26" s="177">
        <f t="shared" si="1"/>
        <v>29400</v>
      </c>
      <c r="K26" s="177"/>
      <c r="L26" s="177">
        <v>5000</v>
      </c>
      <c r="M26" s="177"/>
      <c r="N26" s="177">
        <f t="shared" si="0"/>
        <v>5000</v>
      </c>
    </row>
    <row r="27" spans="1:14">
      <c r="A27" s="177"/>
      <c r="B27" s="177"/>
      <c r="C27" s="177"/>
      <c r="D27" s="177" t="s">
        <v>101</v>
      </c>
      <c r="E27" s="177">
        <v>3</v>
      </c>
      <c r="F27" s="177">
        <v>0</v>
      </c>
      <c r="G27" s="177">
        <v>0</v>
      </c>
      <c r="H27" s="177">
        <v>0</v>
      </c>
      <c r="I27" s="177"/>
      <c r="J27" s="177">
        <f t="shared" si="1"/>
        <v>0</v>
      </c>
      <c r="K27" s="177"/>
      <c r="L27" s="177">
        <v>5000</v>
      </c>
      <c r="M27" s="177"/>
      <c r="N27" s="177">
        <f t="shared" si="0"/>
        <v>5000</v>
      </c>
    </row>
    <row r="28" spans="1:14">
      <c r="A28" s="6">
        <v>17</v>
      </c>
      <c r="B28" s="181" t="s">
        <v>677</v>
      </c>
      <c r="C28" s="181">
        <v>9783457003</v>
      </c>
      <c r="D28" s="181" t="s">
        <v>676</v>
      </c>
      <c r="E28" s="181">
        <v>10</v>
      </c>
      <c r="F28" s="181">
        <v>10000</v>
      </c>
      <c r="G28" s="181">
        <v>1000</v>
      </c>
      <c r="H28" s="181">
        <v>22000</v>
      </c>
      <c r="I28" s="181">
        <v>11000</v>
      </c>
      <c r="J28" s="181">
        <f t="shared" si="1"/>
        <v>21000</v>
      </c>
      <c r="K28" s="181"/>
      <c r="L28" s="6">
        <v>0</v>
      </c>
      <c r="M28" s="6">
        <v>1000</v>
      </c>
      <c r="N28" s="6">
        <f t="shared" si="0"/>
        <v>0</v>
      </c>
    </row>
    <row r="29" spans="1:14">
      <c r="A29" s="6"/>
      <c r="B29" s="181"/>
      <c r="C29" s="181"/>
      <c r="D29" s="181" t="s">
        <v>678</v>
      </c>
      <c r="E29" s="181">
        <v>8</v>
      </c>
      <c r="F29" s="181">
        <v>0</v>
      </c>
      <c r="G29" s="181">
        <v>1000</v>
      </c>
      <c r="H29" s="181"/>
      <c r="I29" s="181"/>
      <c r="J29" s="181">
        <f t="shared" si="1"/>
        <v>0</v>
      </c>
      <c r="K29" s="181"/>
      <c r="L29" s="6">
        <v>0</v>
      </c>
      <c r="M29" s="6">
        <v>1000</v>
      </c>
      <c r="N29" s="6">
        <f t="shared" si="0"/>
        <v>0</v>
      </c>
    </row>
    <row r="30" spans="1:14" ht="30">
      <c r="A30" s="177">
        <v>18</v>
      </c>
      <c r="B30" s="177" t="s">
        <v>681</v>
      </c>
      <c r="C30" s="177">
        <v>8094447447</v>
      </c>
      <c r="D30" s="177" t="s">
        <v>732</v>
      </c>
      <c r="E30" s="177">
        <v>10</v>
      </c>
      <c r="F30" s="177">
        <v>18500</v>
      </c>
      <c r="G30" s="177">
        <v>0</v>
      </c>
      <c r="H30" s="177">
        <v>18000</v>
      </c>
      <c r="I30" s="177">
        <v>30000</v>
      </c>
      <c r="J30" s="177">
        <f t="shared" si="1"/>
        <v>6500</v>
      </c>
      <c r="K30" s="177"/>
      <c r="L30" s="177">
        <v>5000</v>
      </c>
      <c r="M30" s="177"/>
      <c r="N30" s="177">
        <f t="shared" si="0"/>
        <v>5000</v>
      </c>
    </row>
    <row r="31" spans="1:14">
      <c r="A31" s="177"/>
      <c r="B31" s="177"/>
      <c r="C31" s="177"/>
      <c r="D31" s="177" t="s">
        <v>679</v>
      </c>
      <c r="E31" s="177">
        <v>8</v>
      </c>
      <c r="F31" s="177">
        <v>0</v>
      </c>
      <c r="G31" s="177">
        <v>0</v>
      </c>
      <c r="H31" s="177">
        <v>15500</v>
      </c>
      <c r="I31" s="177"/>
      <c r="J31" s="177">
        <f t="shared" si="1"/>
        <v>15500</v>
      </c>
      <c r="K31" s="177"/>
      <c r="L31" s="177">
        <v>5000</v>
      </c>
      <c r="M31" s="177"/>
      <c r="N31" s="177">
        <f t="shared" si="0"/>
        <v>5000</v>
      </c>
    </row>
    <row r="32" spans="1:14">
      <c r="A32" s="177"/>
      <c r="B32" s="177"/>
      <c r="C32" s="177"/>
      <c r="D32" s="177" t="s">
        <v>680</v>
      </c>
      <c r="E32" s="177">
        <v>3</v>
      </c>
      <c r="F32" s="177">
        <v>0</v>
      </c>
      <c r="G32" s="177">
        <v>0</v>
      </c>
      <c r="H32" s="177">
        <v>0</v>
      </c>
      <c r="I32" s="177"/>
      <c r="J32" s="177">
        <f t="shared" si="1"/>
        <v>0</v>
      </c>
      <c r="K32" s="177"/>
      <c r="L32" s="177">
        <v>5000</v>
      </c>
      <c r="M32" s="177"/>
      <c r="N32" s="177">
        <f t="shared" si="0"/>
        <v>5000</v>
      </c>
    </row>
    <row r="33" spans="1:15" ht="30">
      <c r="A33" s="6">
        <v>19</v>
      </c>
      <c r="B33" s="6" t="s">
        <v>682</v>
      </c>
      <c r="C33" s="6">
        <v>9828051602</v>
      </c>
      <c r="D33" s="6" t="s">
        <v>109</v>
      </c>
      <c r="E33" s="6">
        <v>10</v>
      </c>
      <c r="F33" s="6">
        <v>10000</v>
      </c>
      <c r="G33" s="6">
        <v>0</v>
      </c>
      <c r="H33" s="6">
        <v>29400</v>
      </c>
      <c r="I33" s="6">
        <v>30000</v>
      </c>
      <c r="J33" s="6">
        <f t="shared" si="1"/>
        <v>9400</v>
      </c>
      <c r="K33" s="6"/>
      <c r="L33" s="6">
        <v>7000</v>
      </c>
      <c r="M33" s="6">
        <v>7000</v>
      </c>
      <c r="N33" s="6">
        <f t="shared" si="0"/>
        <v>0</v>
      </c>
    </row>
    <row r="34" spans="1:15" ht="30">
      <c r="A34" s="177">
        <v>20</v>
      </c>
      <c r="B34" s="177" t="s">
        <v>685</v>
      </c>
      <c r="C34" s="177">
        <v>9928092116</v>
      </c>
      <c r="D34" s="177" t="s">
        <v>683</v>
      </c>
      <c r="E34" s="177">
        <v>10</v>
      </c>
      <c r="F34" s="177">
        <v>25000</v>
      </c>
      <c r="G34" s="177">
        <v>0</v>
      </c>
      <c r="H34" s="182">
        <v>18000</v>
      </c>
      <c r="I34" s="177">
        <v>61000</v>
      </c>
      <c r="J34" s="177">
        <f t="shared" si="1"/>
        <v>-18000</v>
      </c>
      <c r="K34" s="177" t="s">
        <v>663</v>
      </c>
      <c r="L34" s="177">
        <v>7000</v>
      </c>
      <c r="M34" s="177">
        <v>7000</v>
      </c>
      <c r="N34" s="177">
        <f t="shared" si="0"/>
        <v>0</v>
      </c>
      <c r="O34" s="42" t="s">
        <v>1133</v>
      </c>
    </row>
    <row r="35" spans="1:15">
      <c r="A35" s="177"/>
      <c r="B35" s="177"/>
      <c r="C35" s="177"/>
      <c r="D35" s="177" t="s">
        <v>111</v>
      </c>
      <c r="E35" s="177">
        <v>9</v>
      </c>
      <c r="F35" s="177">
        <v>0</v>
      </c>
      <c r="G35" s="177">
        <v>0</v>
      </c>
      <c r="H35" s="177">
        <v>18000</v>
      </c>
      <c r="I35" s="177"/>
      <c r="J35" s="177">
        <f t="shared" si="1"/>
        <v>18000</v>
      </c>
      <c r="K35" s="177"/>
      <c r="L35" s="177">
        <v>7000</v>
      </c>
      <c r="M35" s="177">
        <v>7000</v>
      </c>
      <c r="N35" s="177">
        <f t="shared" si="0"/>
        <v>0</v>
      </c>
    </row>
    <row r="36" spans="1:15">
      <c r="A36" s="177"/>
      <c r="B36" s="177"/>
      <c r="C36" s="177"/>
      <c r="D36" s="177" t="s">
        <v>112</v>
      </c>
      <c r="E36" s="177">
        <v>5</v>
      </c>
      <c r="F36" s="177">
        <v>0</v>
      </c>
      <c r="G36" s="177">
        <v>0</v>
      </c>
      <c r="H36" s="177">
        <v>0</v>
      </c>
      <c r="I36" s="177"/>
      <c r="J36" s="177">
        <f t="shared" si="1"/>
        <v>0</v>
      </c>
      <c r="K36" s="177"/>
      <c r="L36" s="177">
        <v>0</v>
      </c>
      <c r="M36" s="177"/>
      <c r="N36" s="177">
        <f t="shared" si="0"/>
        <v>0</v>
      </c>
    </row>
    <row r="37" spans="1:15" ht="30">
      <c r="A37" s="6">
        <v>21</v>
      </c>
      <c r="B37" s="6" t="s">
        <v>1095</v>
      </c>
      <c r="C37" s="6">
        <v>9828289578</v>
      </c>
      <c r="D37" s="6" t="s">
        <v>113</v>
      </c>
      <c r="E37" s="6">
        <v>10</v>
      </c>
      <c r="F37" s="6">
        <v>30000</v>
      </c>
      <c r="G37" s="6">
        <v>1600</v>
      </c>
      <c r="H37" s="181">
        <v>29400</v>
      </c>
      <c r="I37" s="6">
        <v>47000</v>
      </c>
      <c r="J37" s="6">
        <f t="shared" si="1"/>
        <v>12400</v>
      </c>
      <c r="K37" s="6" t="s">
        <v>663</v>
      </c>
      <c r="L37" s="6">
        <v>4000</v>
      </c>
      <c r="M37" s="6">
        <v>1600</v>
      </c>
      <c r="N37" s="6">
        <f t="shared" si="0"/>
        <v>4000</v>
      </c>
    </row>
    <row r="38" spans="1:15" ht="30">
      <c r="A38" s="6"/>
      <c r="B38" s="6"/>
      <c r="C38" s="6"/>
      <c r="D38" s="6" t="s">
        <v>686</v>
      </c>
      <c r="E38" s="6">
        <v>6</v>
      </c>
      <c r="F38" s="6">
        <v>0</v>
      </c>
      <c r="G38" s="6">
        <v>1600</v>
      </c>
      <c r="H38" s="6">
        <v>16100</v>
      </c>
      <c r="I38" s="6"/>
      <c r="J38" s="6">
        <f t="shared" si="1"/>
        <v>16100</v>
      </c>
      <c r="K38" s="6"/>
      <c r="L38" s="6">
        <v>4000</v>
      </c>
      <c r="M38" s="6">
        <v>1600</v>
      </c>
      <c r="N38" s="6">
        <f t="shared" si="0"/>
        <v>4000</v>
      </c>
    </row>
    <row r="39" spans="1:15">
      <c r="A39" s="6"/>
      <c r="B39" s="6"/>
      <c r="C39" s="6"/>
      <c r="D39" s="6" t="s">
        <v>687</v>
      </c>
      <c r="E39" s="6" t="s">
        <v>102</v>
      </c>
      <c r="F39" s="6">
        <v>0</v>
      </c>
      <c r="G39" s="6">
        <v>1600</v>
      </c>
      <c r="H39" s="6">
        <v>0</v>
      </c>
      <c r="I39" s="6"/>
      <c r="J39" s="6">
        <f t="shared" si="1"/>
        <v>0</v>
      </c>
      <c r="K39" s="6"/>
      <c r="L39" s="6">
        <v>4000</v>
      </c>
      <c r="M39" s="6">
        <v>1600</v>
      </c>
      <c r="N39" s="6">
        <f t="shared" si="0"/>
        <v>4000</v>
      </c>
    </row>
    <row r="40" spans="1:15" ht="30">
      <c r="A40" s="177">
        <v>22</v>
      </c>
      <c r="B40" s="177" t="s">
        <v>690</v>
      </c>
      <c r="C40" s="177">
        <v>9982369221</v>
      </c>
      <c r="D40" s="177" t="s">
        <v>689</v>
      </c>
      <c r="E40" s="177">
        <v>10</v>
      </c>
      <c r="F40" s="177">
        <v>13000</v>
      </c>
      <c r="G40" s="177">
        <v>2000</v>
      </c>
      <c r="H40" s="177">
        <v>29400</v>
      </c>
      <c r="I40" s="177">
        <v>38000</v>
      </c>
      <c r="J40" s="177">
        <f t="shared" si="1"/>
        <v>4400</v>
      </c>
      <c r="K40" s="177" t="s">
        <v>663</v>
      </c>
      <c r="L40" s="177">
        <v>2500</v>
      </c>
      <c r="M40" s="177">
        <v>3000</v>
      </c>
      <c r="N40" s="177">
        <f t="shared" si="0"/>
        <v>1500</v>
      </c>
    </row>
    <row r="41" spans="1:15">
      <c r="A41" s="177"/>
      <c r="B41" s="177"/>
      <c r="C41" s="177"/>
      <c r="D41" s="177" t="s">
        <v>116</v>
      </c>
      <c r="E41" s="177">
        <v>6</v>
      </c>
      <c r="F41" s="177">
        <v>0</v>
      </c>
      <c r="G41" s="177">
        <v>0</v>
      </c>
      <c r="H41" s="177">
        <v>16100</v>
      </c>
      <c r="I41" s="177"/>
      <c r="J41" s="177">
        <f t="shared" si="1"/>
        <v>16100</v>
      </c>
      <c r="K41" s="177"/>
      <c r="L41" s="177">
        <v>2500</v>
      </c>
      <c r="M41" s="177">
        <v>1000</v>
      </c>
      <c r="N41" s="177">
        <f t="shared" si="0"/>
        <v>1500</v>
      </c>
    </row>
    <row r="42" spans="1:15">
      <c r="A42" s="177"/>
      <c r="B42" s="177"/>
      <c r="C42" s="177"/>
      <c r="D42" s="177" t="s">
        <v>115</v>
      </c>
      <c r="E42" s="177">
        <v>6</v>
      </c>
      <c r="F42" s="177">
        <v>0</v>
      </c>
      <c r="G42" s="177">
        <v>0</v>
      </c>
      <c r="H42" s="177">
        <v>0</v>
      </c>
      <c r="I42" s="177"/>
      <c r="J42" s="177">
        <f t="shared" si="1"/>
        <v>0</v>
      </c>
      <c r="K42" s="177"/>
      <c r="L42" s="177">
        <v>2500</v>
      </c>
      <c r="M42" s="177">
        <v>1000</v>
      </c>
      <c r="N42" s="177">
        <f t="shared" si="0"/>
        <v>1500</v>
      </c>
    </row>
    <row r="43" spans="1:15">
      <c r="A43" s="177"/>
      <c r="B43" s="177"/>
      <c r="C43" s="177"/>
      <c r="D43" s="177" t="s">
        <v>1072</v>
      </c>
      <c r="E43" s="177" t="s">
        <v>98</v>
      </c>
      <c r="F43" s="177">
        <v>0</v>
      </c>
      <c r="G43" s="177">
        <v>0</v>
      </c>
      <c r="H43" s="177"/>
      <c r="I43" s="177"/>
      <c r="J43" s="177"/>
      <c r="K43" s="177"/>
      <c r="L43" s="177"/>
      <c r="M43" s="177"/>
      <c r="N43" s="177"/>
    </row>
    <row r="44" spans="1:15">
      <c r="A44" s="6">
        <v>23</v>
      </c>
      <c r="B44" s="6" t="s">
        <v>692</v>
      </c>
      <c r="C44" s="6">
        <v>9929728308</v>
      </c>
      <c r="D44" s="6" t="s">
        <v>691</v>
      </c>
      <c r="E44" s="6">
        <v>10</v>
      </c>
      <c r="F44" s="6">
        <v>10000</v>
      </c>
      <c r="G44" s="6">
        <v>0</v>
      </c>
      <c r="H44" s="6">
        <v>20000</v>
      </c>
      <c r="I44" s="6">
        <v>10000</v>
      </c>
      <c r="J44" s="6">
        <f t="shared" si="1"/>
        <v>20000</v>
      </c>
      <c r="K44" s="6"/>
      <c r="L44" s="6">
        <v>0</v>
      </c>
      <c r="M44" s="6">
        <v>0</v>
      </c>
      <c r="N44" s="6">
        <f t="shared" si="0"/>
        <v>0</v>
      </c>
    </row>
    <row r="45" spans="1:15" ht="30">
      <c r="A45" s="177">
        <v>24</v>
      </c>
      <c r="B45" s="177" t="s">
        <v>693</v>
      </c>
      <c r="C45" s="177">
        <v>9462142637</v>
      </c>
      <c r="D45" s="177" t="s">
        <v>1017</v>
      </c>
      <c r="E45" s="177">
        <v>9</v>
      </c>
      <c r="F45" s="177">
        <v>0</v>
      </c>
      <c r="G45" s="177">
        <v>0</v>
      </c>
      <c r="H45" s="177">
        <v>26200</v>
      </c>
      <c r="I45" s="177">
        <v>16000</v>
      </c>
      <c r="J45" s="177">
        <f t="shared" si="1"/>
        <v>10200</v>
      </c>
      <c r="K45" s="177"/>
      <c r="L45" s="177">
        <v>3000</v>
      </c>
      <c r="M45" s="177"/>
      <c r="N45" s="177">
        <f t="shared" si="0"/>
        <v>3000</v>
      </c>
    </row>
    <row r="46" spans="1:15">
      <c r="A46" s="177"/>
      <c r="B46" s="177"/>
      <c r="C46" s="177"/>
      <c r="D46" s="177" t="s">
        <v>118</v>
      </c>
      <c r="E46" s="177">
        <v>8</v>
      </c>
      <c r="F46" s="177">
        <v>15500</v>
      </c>
      <c r="G46" s="177">
        <v>0</v>
      </c>
      <c r="H46" s="177">
        <v>19600</v>
      </c>
      <c r="I46" s="177"/>
      <c r="J46" s="177">
        <f t="shared" si="1"/>
        <v>35100</v>
      </c>
      <c r="K46" s="177"/>
      <c r="L46" s="177">
        <v>3000</v>
      </c>
      <c r="M46" s="177"/>
      <c r="N46" s="177">
        <f t="shared" si="0"/>
        <v>3000</v>
      </c>
    </row>
    <row r="47" spans="1:15" ht="30">
      <c r="A47" s="6">
        <v>25</v>
      </c>
      <c r="B47" s="6" t="s">
        <v>696</v>
      </c>
      <c r="C47" s="6">
        <v>7742232992</v>
      </c>
      <c r="D47" s="6" t="s">
        <v>695</v>
      </c>
      <c r="E47" s="6">
        <v>9</v>
      </c>
      <c r="F47" s="6">
        <v>25000</v>
      </c>
      <c r="G47" s="6">
        <v>0</v>
      </c>
      <c r="H47" s="6">
        <v>26200</v>
      </c>
      <c r="I47" s="6">
        <v>57000</v>
      </c>
      <c r="J47" s="6">
        <f t="shared" si="1"/>
        <v>-5800</v>
      </c>
      <c r="K47" s="6" t="s">
        <v>663</v>
      </c>
      <c r="L47" s="6">
        <v>0</v>
      </c>
      <c r="M47" s="6"/>
      <c r="N47" s="6">
        <f t="shared" si="0"/>
        <v>0</v>
      </c>
    </row>
    <row r="48" spans="1:15">
      <c r="A48" s="6"/>
      <c r="B48" s="6"/>
      <c r="C48" s="6"/>
      <c r="D48" s="6" t="s">
        <v>697</v>
      </c>
      <c r="E48" s="6">
        <v>9</v>
      </c>
      <c r="F48" s="6"/>
      <c r="G48" s="6">
        <v>0</v>
      </c>
      <c r="H48" s="6">
        <v>26200</v>
      </c>
      <c r="I48" s="6"/>
      <c r="J48" s="6">
        <f t="shared" si="1"/>
        <v>26200</v>
      </c>
      <c r="K48" s="6"/>
      <c r="L48" s="6">
        <v>0</v>
      </c>
      <c r="M48" s="6"/>
      <c r="N48" s="6">
        <f t="shared" si="0"/>
        <v>0</v>
      </c>
    </row>
    <row r="49" spans="1:16">
      <c r="A49" s="6"/>
      <c r="B49" s="6"/>
      <c r="C49" s="6"/>
      <c r="D49" s="6" t="s">
        <v>698</v>
      </c>
      <c r="E49" s="6">
        <v>6</v>
      </c>
      <c r="F49" s="6"/>
      <c r="G49" s="6">
        <v>0</v>
      </c>
      <c r="H49" s="6">
        <v>16100</v>
      </c>
      <c r="I49" s="6"/>
      <c r="J49" s="6">
        <f t="shared" si="1"/>
        <v>16100</v>
      </c>
      <c r="K49" s="6"/>
      <c r="L49" s="6">
        <v>0</v>
      </c>
      <c r="M49" s="6"/>
      <c r="N49" s="6">
        <f t="shared" si="0"/>
        <v>0</v>
      </c>
    </row>
    <row r="50" spans="1:16">
      <c r="A50" s="6"/>
      <c r="B50" s="6"/>
      <c r="C50" s="6"/>
      <c r="D50" s="6" t="s">
        <v>699</v>
      </c>
      <c r="E50" s="6">
        <v>1</v>
      </c>
      <c r="F50" s="6"/>
      <c r="G50" s="6">
        <v>0</v>
      </c>
      <c r="H50" s="6">
        <v>0</v>
      </c>
      <c r="I50" s="6"/>
      <c r="J50" s="6">
        <f t="shared" si="1"/>
        <v>0</v>
      </c>
      <c r="K50" s="6"/>
      <c r="L50" s="6">
        <v>0</v>
      </c>
      <c r="M50" s="6"/>
      <c r="N50" s="6">
        <f t="shared" si="0"/>
        <v>0</v>
      </c>
    </row>
    <row r="51" spans="1:16" ht="30">
      <c r="A51" s="177">
        <v>26</v>
      </c>
      <c r="B51" s="177" t="s">
        <v>700</v>
      </c>
      <c r="C51" s="177">
        <v>9772971159</v>
      </c>
      <c r="D51" s="177" t="s">
        <v>125</v>
      </c>
      <c r="E51" s="177">
        <v>9</v>
      </c>
      <c r="F51" s="177">
        <v>36000</v>
      </c>
      <c r="G51" s="177">
        <v>0</v>
      </c>
      <c r="H51" s="177">
        <v>26200</v>
      </c>
      <c r="I51" s="177">
        <v>60700</v>
      </c>
      <c r="J51" s="177">
        <f t="shared" si="1"/>
        <v>1500</v>
      </c>
      <c r="K51" s="177"/>
      <c r="L51" s="177">
        <v>3500</v>
      </c>
      <c r="M51" s="177">
        <v>1800</v>
      </c>
      <c r="N51" s="177">
        <f t="shared" si="0"/>
        <v>1700</v>
      </c>
    </row>
    <row r="52" spans="1:16">
      <c r="A52" s="177"/>
      <c r="B52" s="177"/>
      <c r="C52" s="177"/>
      <c r="D52" s="177" t="s">
        <v>126</v>
      </c>
      <c r="E52" s="177">
        <v>9</v>
      </c>
      <c r="F52" s="177"/>
      <c r="G52" s="177">
        <v>0</v>
      </c>
      <c r="H52" s="177">
        <v>26200</v>
      </c>
      <c r="I52" s="177"/>
      <c r="J52" s="177">
        <f t="shared" si="1"/>
        <v>26200</v>
      </c>
      <c r="K52" s="177"/>
      <c r="L52" s="177">
        <v>3500</v>
      </c>
      <c r="M52" s="177">
        <v>1800</v>
      </c>
      <c r="N52" s="177">
        <f t="shared" si="0"/>
        <v>1700</v>
      </c>
      <c r="P52" s="42">
        <f>I51+43200</f>
        <v>103900</v>
      </c>
    </row>
    <row r="53" spans="1:16">
      <c r="A53" s="177"/>
      <c r="B53" s="177"/>
      <c r="C53" s="177"/>
      <c r="D53" s="177" t="s">
        <v>128</v>
      </c>
      <c r="E53" s="177">
        <v>7</v>
      </c>
      <c r="F53" s="177"/>
      <c r="G53" s="177">
        <v>0</v>
      </c>
      <c r="H53" s="177">
        <v>17100</v>
      </c>
      <c r="I53" s="177"/>
      <c r="J53" s="177">
        <f t="shared" si="1"/>
        <v>17100</v>
      </c>
      <c r="K53" s="177"/>
      <c r="L53" s="177">
        <v>3500</v>
      </c>
      <c r="M53" s="177">
        <v>1800</v>
      </c>
      <c r="N53" s="177">
        <f t="shared" si="0"/>
        <v>1700</v>
      </c>
    </row>
    <row r="54" spans="1:16">
      <c r="A54" s="177"/>
      <c r="B54" s="177"/>
      <c r="C54" s="177"/>
      <c r="D54" s="177" t="s">
        <v>129</v>
      </c>
      <c r="E54" s="177">
        <v>2</v>
      </c>
      <c r="F54" s="177"/>
      <c r="G54" s="177">
        <v>0</v>
      </c>
      <c r="H54" s="177">
        <v>13200</v>
      </c>
      <c r="I54" s="177"/>
      <c r="J54" s="177">
        <f t="shared" si="1"/>
        <v>13200</v>
      </c>
      <c r="K54" s="177"/>
      <c r="L54" s="177">
        <v>3500</v>
      </c>
      <c r="M54" s="177">
        <v>1800</v>
      </c>
      <c r="N54" s="177">
        <f t="shared" si="0"/>
        <v>1700</v>
      </c>
    </row>
    <row r="55" spans="1:16">
      <c r="A55" s="177"/>
      <c r="B55" s="177"/>
      <c r="C55" s="177"/>
      <c r="D55" s="177" t="s">
        <v>127</v>
      </c>
      <c r="E55" s="177">
        <v>7</v>
      </c>
      <c r="F55" s="177"/>
      <c r="G55" s="177">
        <v>0</v>
      </c>
      <c r="H55" s="177">
        <v>0</v>
      </c>
      <c r="I55" s="177"/>
      <c r="J55" s="177">
        <f t="shared" si="1"/>
        <v>0</v>
      </c>
      <c r="K55" s="177"/>
      <c r="L55" s="177">
        <v>3500</v>
      </c>
      <c r="M55" s="177"/>
      <c r="N55" s="177">
        <f t="shared" si="0"/>
        <v>3500</v>
      </c>
    </row>
    <row r="56" spans="1:16" ht="30">
      <c r="A56" s="6">
        <v>27</v>
      </c>
      <c r="B56" s="180" t="s">
        <v>702</v>
      </c>
      <c r="C56" s="180">
        <v>9982777692</v>
      </c>
      <c r="D56" s="6" t="s">
        <v>1018</v>
      </c>
      <c r="E56" s="6">
        <v>9</v>
      </c>
      <c r="F56" s="6"/>
      <c r="G56" s="6">
        <v>0</v>
      </c>
      <c r="H56" s="6">
        <v>26200</v>
      </c>
      <c r="I56" s="6">
        <v>10000</v>
      </c>
      <c r="J56" s="6">
        <f t="shared" si="1"/>
        <v>16200</v>
      </c>
      <c r="K56" s="6" t="s">
        <v>663</v>
      </c>
      <c r="L56" s="6">
        <v>0</v>
      </c>
      <c r="M56" s="6"/>
      <c r="N56" s="6">
        <f t="shared" si="0"/>
        <v>0</v>
      </c>
    </row>
    <row r="57" spans="1:16">
      <c r="A57" s="6"/>
      <c r="B57" s="6"/>
      <c r="C57" s="6"/>
      <c r="D57" s="6" t="s">
        <v>701</v>
      </c>
      <c r="E57" s="6">
        <v>7</v>
      </c>
      <c r="F57" s="6">
        <v>21000</v>
      </c>
      <c r="G57" s="6">
        <v>0</v>
      </c>
      <c r="H57" s="6">
        <v>17100</v>
      </c>
      <c r="I57" s="6"/>
      <c r="J57" s="6">
        <f t="shared" si="1"/>
        <v>38100</v>
      </c>
      <c r="K57" s="6"/>
      <c r="L57" s="6">
        <v>0</v>
      </c>
      <c r="M57" s="6"/>
      <c r="N57" s="6">
        <f t="shared" si="0"/>
        <v>0</v>
      </c>
    </row>
    <row r="58" spans="1:16">
      <c r="A58" s="177">
        <v>28</v>
      </c>
      <c r="B58" s="178" t="s">
        <v>837</v>
      </c>
      <c r="C58" s="178">
        <v>9929393894</v>
      </c>
      <c r="D58" s="177" t="s">
        <v>154</v>
      </c>
      <c r="E58" s="177">
        <v>9</v>
      </c>
      <c r="F58" s="177">
        <v>18000</v>
      </c>
      <c r="G58" s="177">
        <v>0</v>
      </c>
      <c r="H58" s="177">
        <v>15000</v>
      </c>
      <c r="I58" s="177">
        <v>32000</v>
      </c>
      <c r="J58" s="177">
        <f t="shared" si="1"/>
        <v>1000</v>
      </c>
      <c r="K58" s="177" t="s">
        <v>663</v>
      </c>
      <c r="L58" s="177">
        <v>0</v>
      </c>
      <c r="M58" s="177"/>
      <c r="N58" s="177">
        <f t="shared" si="0"/>
        <v>0</v>
      </c>
    </row>
    <row r="59" spans="1:16">
      <c r="A59" s="177"/>
      <c r="B59" s="177"/>
      <c r="C59" s="177"/>
      <c r="D59" s="177" t="s">
        <v>155</v>
      </c>
      <c r="E59" s="177">
        <v>5</v>
      </c>
      <c r="F59" s="177"/>
      <c r="G59" s="177">
        <v>0</v>
      </c>
      <c r="H59" s="177">
        <v>10000</v>
      </c>
      <c r="I59" s="177"/>
      <c r="J59" s="177">
        <f t="shared" si="1"/>
        <v>10000</v>
      </c>
      <c r="K59" s="177"/>
      <c r="L59" s="177">
        <v>0</v>
      </c>
      <c r="M59" s="177"/>
      <c r="N59" s="177">
        <f t="shared" si="0"/>
        <v>0</v>
      </c>
    </row>
    <row r="60" spans="1:16">
      <c r="A60" s="6">
        <v>29</v>
      </c>
      <c r="B60" s="6" t="s">
        <v>706</v>
      </c>
      <c r="C60" s="6"/>
      <c r="D60" s="6" t="s">
        <v>704</v>
      </c>
      <c r="E60" s="6">
        <v>9</v>
      </c>
      <c r="F60" s="6">
        <v>20000</v>
      </c>
      <c r="G60" s="6">
        <v>0</v>
      </c>
      <c r="H60" s="6">
        <v>0</v>
      </c>
      <c r="I60" s="6">
        <v>20000</v>
      </c>
      <c r="J60" s="6">
        <f t="shared" si="1"/>
        <v>0</v>
      </c>
      <c r="K60" s="180" t="s">
        <v>612</v>
      </c>
      <c r="L60" s="6">
        <v>0</v>
      </c>
      <c r="M60" s="6"/>
      <c r="N60" s="6">
        <f t="shared" si="0"/>
        <v>0</v>
      </c>
    </row>
    <row r="61" spans="1:16">
      <c r="A61" s="6"/>
      <c r="B61" s="6"/>
      <c r="C61" s="6"/>
      <c r="D61" s="6" t="s">
        <v>705</v>
      </c>
      <c r="E61" s="6">
        <v>2</v>
      </c>
      <c r="F61" s="6"/>
      <c r="G61" s="6">
        <v>0</v>
      </c>
      <c r="H61" s="6"/>
      <c r="I61" s="6"/>
      <c r="J61" s="6">
        <f t="shared" si="1"/>
        <v>0</v>
      </c>
      <c r="K61" s="180" t="s">
        <v>612</v>
      </c>
      <c r="L61" s="6">
        <v>0</v>
      </c>
      <c r="M61" s="6"/>
      <c r="N61" s="6">
        <f t="shared" si="0"/>
        <v>0</v>
      </c>
    </row>
    <row r="62" spans="1:16" ht="30">
      <c r="A62" s="177">
        <v>30</v>
      </c>
      <c r="B62" s="177" t="s">
        <v>708</v>
      </c>
      <c r="C62" s="177">
        <v>9929392322</v>
      </c>
      <c r="D62" s="177" t="s">
        <v>707</v>
      </c>
      <c r="E62" s="177">
        <v>6</v>
      </c>
      <c r="F62" s="177">
        <v>10000</v>
      </c>
      <c r="G62" s="177">
        <v>0</v>
      </c>
      <c r="H62" s="177">
        <v>16100</v>
      </c>
      <c r="I62" s="177">
        <v>10000</v>
      </c>
      <c r="J62" s="177">
        <f t="shared" si="1"/>
        <v>16100</v>
      </c>
      <c r="K62" s="177"/>
      <c r="L62" s="177">
        <v>6000</v>
      </c>
      <c r="M62" s="177">
        <v>3000</v>
      </c>
      <c r="N62" s="177">
        <f t="shared" si="0"/>
        <v>3000</v>
      </c>
    </row>
    <row r="63" spans="1:16" ht="30">
      <c r="A63" s="6">
        <v>31</v>
      </c>
      <c r="B63" s="6" t="s">
        <v>709</v>
      </c>
      <c r="C63" s="6">
        <v>9983886565</v>
      </c>
      <c r="D63" s="6" t="s">
        <v>138</v>
      </c>
      <c r="E63" s="6">
        <v>9</v>
      </c>
      <c r="F63" s="6">
        <v>15000</v>
      </c>
      <c r="G63" s="6">
        <v>0</v>
      </c>
      <c r="H63" s="6">
        <v>30000</v>
      </c>
      <c r="I63" s="6">
        <v>35000</v>
      </c>
      <c r="J63" s="6">
        <f t="shared" si="1"/>
        <v>10000</v>
      </c>
      <c r="K63" s="6" t="s">
        <v>663</v>
      </c>
      <c r="L63" s="6">
        <v>0</v>
      </c>
      <c r="M63" s="6"/>
      <c r="N63" s="6">
        <f t="shared" si="0"/>
        <v>0</v>
      </c>
    </row>
    <row r="64" spans="1:16">
      <c r="A64" s="6"/>
      <c r="B64" s="6"/>
      <c r="C64" s="6"/>
      <c r="D64" s="6" t="s">
        <v>139</v>
      </c>
      <c r="E64" s="6">
        <v>6</v>
      </c>
      <c r="F64" s="6"/>
      <c r="G64" s="6">
        <v>0</v>
      </c>
      <c r="H64" s="6"/>
      <c r="I64" s="6"/>
      <c r="J64" s="6">
        <f t="shared" ref="J64:J119" si="2">F64+H64-I64</f>
        <v>0</v>
      </c>
      <c r="K64" s="6"/>
      <c r="L64" s="6">
        <v>0</v>
      </c>
      <c r="M64" s="6"/>
      <c r="N64" s="6">
        <f t="shared" ref="N64:N119" si="3">G64+L64-M64</f>
        <v>0</v>
      </c>
    </row>
    <row r="65" spans="1:15" ht="30">
      <c r="A65" s="177">
        <v>32</v>
      </c>
      <c r="B65" s="178" t="s">
        <v>711</v>
      </c>
      <c r="C65" s="178"/>
      <c r="D65" s="183" t="s">
        <v>710</v>
      </c>
      <c r="E65" s="177">
        <v>9</v>
      </c>
      <c r="F65" s="177">
        <v>3000</v>
      </c>
      <c r="G65" s="177">
        <v>0</v>
      </c>
      <c r="H65" s="177">
        <v>0</v>
      </c>
      <c r="I65" s="177">
        <v>3000</v>
      </c>
      <c r="J65" s="177">
        <f>F65+H65-I65</f>
        <v>0</v>
      </c>
      <c r="K65" s="177"/>
      <c r="L65" s="177">
        <v>0</v>
      </c>
      <c r="M65" s="177"/>
      <c r="N65" s="177">
        <f t="shared" si="3"/>
        <v>0</v>
      </c>
    </row>
    <row r="66" spans="1:15">
      <c r="A66" s="177"/>
      <c r="B66" s="177"/>
      <c r="C66" s="177"/>
      <c r="D66" s="183" t="s">
        <v>687</v>
      </c>
      <c r="E66" s="177">
        <v>4</v>
      </c>
      <c r="F66" s="177"/>
      <c r="G66" s="177">
        <v>0</v>
      </c>
      <c r="H66" s="177">
        <v>0</v>
      </c>
      <c r="I66" s="177"/>
      <c r="J66" s="177">
        <f t="shared" si="2"/>
        <v>0</v>
      </c>
      <c r="K66" s="177"/>
      <c r="L66" s="177">
        <v>0</v>
      </c>
      <c r="M66" s="177"/>
      <c r="N66" s="177">
        <f t="shared" si="3"/>
        <v>0</v>
      </c>
    </row>
    <row r="67" spans="1:15" ht="30">
      <c r="A67" s="6">
        <v>33</v>
      </c>
      <c r="B67" s="6" t="s">
        <v>712</v>
      </c>
      <c r="C67" s="6">
        <v>9783855782</v>
      </c>
      <c r="D67" s="6" t="s">
        <v>142</v>
      </c>
      <c r="E67" s="6">
        <v>9</v>
      </c>
      <c r="F67" s="6">
        <v>6000</v>
      </c>
      <c r="G67" s="6">
        <v>1000</v>
      </c>
      <c r="H67" s="6">
        <v>16000</v>
      </c>
      <c r="I67" s="6">
        <v>17000</v>
      </c>
      <c r="J67" s="6">
        <f t="shared" si="2"/>
        <v>5000</v>
      </c>
      <c r="K67" s="6" t="s">
        <v>663</v>
      </c>
      <c r="L67" s="6">
        <v>5000</v>
      </c>
      <c r="M67" s="6">
        <v>4000</v>
      </c>
      <c r="N67" s="6">
        <f t="shared" si="3"/>
        <v>2000</v>
      </c>
    </row>
    <row r="68" spans="1:15">
      <c r="A68" s="6"/>
      <c r="B68" s="6"/>
      <c r="C68" s="6"/>
      <c r="D68" s="6" t="s">
        <v>143</v>
      </c>
      <c r="E68" s="6">
        <v>7</v>
      </c>
      <c r="F68" s="6"/>
      <c r="G68" s="6">
        <v>500</v>
      </c>
      <c r="H68" s="6">
        <v>11000</v>
      </c>
      <c r="I68" s="6"/>
      <c r="J68" s="6">
        <f t="shared" si="2"/>
        <v>11000</v>
      </c>
      <c r="K68" s="6"/>
      <c r="L68" s="6">
        <v>5000</v>
      </c>
      <c r="M68" s="6">
        <v>3500</v>
      </c>
      <c r="N68" s="6">
        <f t="shared" si="3"/>
        <v>2000</v>
      </c>
    </row>
    <row r="69" spans="1:15" ht="30">
      <c r="A69" s="6"/>
      <c r="B69" s="6"/>
      <c r="C69" s="6"/>
      <c r="D69" s="6" t="s">
        <v>144</v>
      </c>
      <c r="E69" s="6">
        <v>2</v>
      </c>
      <c r="F69" s="6"/>
      <c r="G69" s="6">
        <v>500</v>
      </c>
      <c r="H69" s="6">
        <v>0</v>
      </c>
      <c r="I69" s="6"/>
      <c r="J69" s="6">
        <f t="shared" si="2"/>
        <v>0</v>
      </c>
      <c r="K69" s="6"/>
      <c r="L69" s="6">
        <v>4000</v>
      </c>
      <c r="M69" s="6">
        <v>2900</v>
      </c>
      <c r="N69" s="6">
        <f t="shared" si="3"/>
        <v>1600</v>
      </c>
    </row>
    <row r="70" spans="1:15" ht="30">
      <c r="A70" s="177">
        <v>34</v>
      </c>
      <c r="B70" s="197" t="s">
        <v>1019</v>
      </c>
      <c r="C70" s="184">
        <v>8003030009</v>
      </c>
      <c r="D70" s="184" t="s">
        <v>73</v>
      </c>
      <c r="E70" s="184">
        <v>9</v>
      </c>
      <c r="F70" s="184">
        <v>0</v>
      </c>
      <c r="G70" s="184">
        <v>0</v>
      </c>
      <c r="H70" s="184">
        <v>26200</v>
      </c>
      <c r="I70" s="184">
        <v>0</v>
      </c>
      <c r="J70" s="184">
        <f t="shared" si="2"/>
        <v>26200</v>
      </c>
      <c r="K70" s="184"/>
      <c r="L70" s="184">
        <v>5000</v>
      </c>
      <c r="M70" s="184">
        <v>0</v>
      </c>
      <c r="N70" s="184">
        <f t="shared" si="3"/>
        <v>5000</v>
      </c>
    </row>
    <row r="71" spans="1:15" ht="30">
      <c r="A71" s="6">
        <v>35</v>
      </c>
      <c r="B71" s="180" t="s">
        <v>838</v>
      </c>
      <c r="C71" s="6">
        <v>9983091995</v>
      </c>
      <c r="D71" s="6" t="s">
        <v>722</v>
      </c>
      <c r="E71" s="6">
        <v>9</v>
      </c>
      <c r="F71" s="6">
        <v>23000</v>
      </c>
      <c r="G71" s="6">
        <v>1400</v>
      </c>
      <c r="H71" s="6">
        <v>26200</v>
      </c>
      <c r="I71" s="6">
        <v>9800</v>
      </c>
      <c r="J71" s="6">
        <f t="shared" si="2"/>
        <v>39400</v>
      </c>
      <c r="K71" s="6"/>
      <c r="L71" s="6">
        <v>5400</v>
      </c>
      <c r="M71" s="6">
        <v>1400</v>
      </c>
      <c r="N71" s="6">
        <f t="shared" si="3"/>
        <v>5400</v>
      </c>
    </row>
    <row r="72" spans="1:15" ht="30">
      <c r="A72" s="177">
        <v>36</v>
      </c>
      <c r="B72" s="177" t="s">
        <v>723</v>
      </c>
      <c r="C72" s="177">
        <v>9983903636</v>
      </c>
      <c r="D72" s="177" t="s">
        <v>152</v>
      </c>
      <c r="E72" s="177">
        <v>9</v>
      </c>
      <c r="F72" s="177">
        <v>35000</v>
      </c>
      <c r="G72" s="177">
        <v>0</v>
      </c>
      <c r="H72" s="177">
        <v>26200</v>
      </c>
      <c r="I72" s="177">
        <v>27800</v>
      </c>
      <c r="J72" s="177">
        <f t="shared" si="2"/>
        <v>33400</v>
      </c>
      <c r="K72" s="177"/>
      <c r="L72" s="177">
        <v>5000</v>
      </c>
      <c r="M72" s="177">
        <v>1000</v>
      </c>
      <c r="N72" s="177">
        <f t="shared" si="3"/>
        <v>4000</v>
      </c>
    </row>
    <row r="73" spans="1:15">
      <c r="A73" s="177"/>
      <c r="B73" s="177"/>
      <c r="C73" s="177"/>
      <c r="D73" s="177" t="s">
        <v>153</v>
      </c>
      <c r="E73" s="177">
        <v>7</v>
      </c>
      <c r="F73" s="177"/>
      <c r="G73" s="177"/>
      <c r="H73" s="177">
        <v>17100</v>
      </c>
      <c r="I73" s="177"/>
      <c r="J73" s="177">
        <f t="shared" si="2"/>
        <v>17100</v>
      </c>
      <c r="K73" s="177"/>
      <c r="L73" s="177">
        <v>5000</v>
      </c>
      <c r="M73" s="177">
        <v>1000</v>
      </c>
      <c r="N73" s="177">
        <f t="shared" si="3"/>
        <v>4000</v>
      </c>
    </row>
    <row r="74" spans="1:15" ht="30">
      <c r="A74" s="6">
        <v>37</v>
      </c>
      <c r="B74" s="6" t="s">
        <v>725</v>
      </c>
      <c r="C74" s="6">
        <v>9829320824</v>
      </c>
      <c r="D74" s="6" t="s">
        <v>724</v>
      </c>
      <c r="E74" s="6">
        <v>9</v>
      </c>
      <c r="F74" s="6">
        <v>15000</v>
      </c>
      <c r="G74" s="6">
        <v>1000</v>
      </c>
      <c r="H74" s="6">
        <v>26200</v>
      </c>
      <c r="I74" s="6">
        <v>9000</v>
      </c>
      <c r="J74" s="6">
        <f t="shared" si="2"/>
        <v>32200</v>
      </c>
      <c r="K74" s="6"/>
      <c r="L74" s="6">
        <v>5000</v>
      </c>
      <c r="M74" s="6"/>
      <c r="N74" s="6">
        <f t="shared" si="3"/>
        <v>6000</v>
      </c>
    </row>
    <row r="75" spans="1:15" ht="30">
      <c r="A75" s="177">
        <v>38</v>
      </c>
      <c r="B75" s="177" t="s">
        <v>729</v>
      </c>
      <c r="C75" s="177">
        <v>9828249151</v>
      </c>
      <c r="D75" s="177" t="s">
        <v>999</v>
      </c>
      <c r="E75" s="177">
        <v>8</v>
      </c>
      <c r="F75" s="177">
        <v>2800</v>
      </c>
      <c r="G75" s="177">
        <v>1200</v>
      </c>
      <c r="H75" s="177">
        <v>19600</v>
      </c>
      <c r="I75" s="177">
        <v>2800</v>
      </c>
      <c r="J75" s="177">
        <f t="shared" si="2"/>
        <v>19600</v>
      </c>
      <c r="K75" s="177"/>
      <c r="L75" s="177">
        <v>6000</v>
      </c>
      <c r="M75" s="177">
        <v>1200</v>
      </c>
      <c r="N75" s="177">
        <f t="shared" si="3"/>
        <v>6000</v>
      </c>
    </row>
    <row r="76" spans="1:15">
      <c r="A76" s="177"/>
      <c r="B76" s="177"/>
      <c r="C76" s="177"/>
      <c r="D76" s="177" t="s">
        <v>1020</v>
      </c>
      <c r="E76" s="177">
        <v>6</v>
      </c>
      <c r="F76" s="177">
        <v>0</v>
      </c>
      <c r="G76" s="177">
        <v>0</v>
      </c>
      <c r="H76" s="177">
        <v>16100</v>
      </c>
      <c r="I76" s="177"/>
      <c r="J76" s="177">
        <f t="shared" si="2"/>
        <v>16100</v>
      </c>
      <c r="K76" s="177"/>
      <c r="L76" s="177">
        <v>6000</v>
      </c>
      <c r="M76" s="177">
        <v>0</v>
      </c>
      <c r="N76" s="177">
        <f t="shared" si="3"/>
        <v>6000</v>
      </c>
    </row>
    <row r="77" spans="1:15" ht="30">
      <c r="A77" s="179">
        <v>39</v>
      </c>
      <c r="B77" s="179" t="s">
        <v>731</v>
      </c>
      <c r="C77" s="179">
        <v>9829683882</v>
      </c>
      <c r="D77" s="179" t="s">
        <v>730</v>
      </c>
      <c r="E77" s="179">
        <v>8</v>
      </c>
      <c r="F77" s="179">
        <v>11000</v>
      </c>
      <c r="G77" s="179">
        <v>1800</v>
      </c>
      <c r="H77" s="179">
        <v>19600</v>
      </c>
      <c r="I77" s="179">
        <v>6700</v>
      </c>
      <c r="J77" s="179">
        <f t="shared" si="2"/>
        <v>23900</v>
      </c>
      <c r="K77" s="179"/>
      <c r="L77" s="179">
        <v>6000</v>
      </c>
      <c r="M77" s="179">
        <v>1800</v>
      </c>
      <c r="N77" s="179">
        <f t="shared" si="3"/>
        <v>6000</v>
      </c>
    </row>
    <row r="78" spans="1:15">
      <c r="A78" s="177">
        <v>40</v>
      </c>
      <c r="B78" s="177" t="s">
        <v>734</v>
      </c>
      <c r="C78" s="177">
        <v>9983359901</v>
      </c>
      <c r="D78" s="177" t="s">
        <v>733</v>
      </c>
      <c r="E78" s="177">
        <v>8</v>
      </c>
      <c r="F78" s="177">
        <v>0</v>
      </c>
      <c r="G78" s="177">
        <v>0</v>
      </c>
      <c r="H78" s="177"/>
      <c r="I78" s="177"/>
      <c r="J78" s="177">
        <f t="shared" si="2"/>
        <v>0</v>
      </c>
      <c r="K78" s="177"/>
      <c r="L78" s="177">
        <v>0</v>
      </c>
      <c r="M78" s="177"/>
      <c r="N78" s="177">
        <f t="shared" si="3"/>
        <v>0</v>
      </c>
    </row>
    <row r="79" spans="1:15" ht="30">
      <c r="A79" s="177"/>
      <c r="B79" s="177"/>
      <c r="C79" s="177"/>
      <c r="D79" s="177" t="s">
        <v>160</v>
      </c>
      <c r="E79" s="177">
        <v>6</v>
      </c>
      <c r="F79" s="177">
        <v>15000</v>
      </c>
      <c r="G79" s="177">
        <v>0</v>
      </c>
      <c r="H79" s="177">
        <v>16100</v>
      </c>
      <c r="I79" s="177">
        <v>10500</v>
      </c>
      <c r="J79" s="177">
        <f t="shared" si="2"/>
        <v>20600</v>
      </c>
      <c r="K79" s="177"/>
      <c r="L79" s="177">
        <v>0</v>
      </c>
      <c r="M79" s="177"/>
      <c r="N79" s="177">
        <f t="shared" si="3"/>
        <v>0</v>
      </c>
    </row>
    <row r="80" spans="1:15">
      <c r="A80" s="179">
        <v>41</v>
      </c>
      <c r="B80" s="179" t="s">
        <v>738</v>
      </c>
      <c r="C80" s="179">
        <v>9929050231</v>
      </c>
      <c r="D80" s="179" t="s">
        <v>727</v>
      </c>
      <c r="E80" s="179">
        <v>8</v>
      </c>
      <c r="F80" s="179">
        <v>1000</v>
      </c>
      <c r="G80" s="179">
        <v>0</v>
      </c>
      <c r="H80" s="179">
        <v>17000</v>
      </c>
      <c r="I80" s="179">
        <v>47000</v>
      </c>
      <c r="J80" s="179">
        <f t="shared" si="2"/>
        <v>-29000</v>
      </c>
      <c r="K80" s="179" t="s">
        <v>663</v>
      </c>
      <c r="L80" s="179">
        <v>0</v>
      </c>
      <c r="M80" s="179"/>
      <c r="N80" s="179">
        <f t="shared" si="3"/>
        <v>0</v>
      </c>
      <c r="O80" s="42" t="s">
        <v>1133</v>
      </c>
    </row>
    <row r="81" spans="1:15">
      <c r="A81" s="179"/>
      <c r="B81" s="179"/>
      <c r="C81" s="179"/>
      <c r="D81" s="179" t="s">
        <v>735</v>
      </c>
      <c r="E81" s="179">
        <v>5</v>
      </c>
      <c r="F81" s="179"/>
      <c r="G81" s="179"/>
      <c r="H81" s="179">
        <v>15000</v>
      </c>
      <c r="I81" s="179"/>
      <c r="J81" s="179">
        <f t="shared" si="2"/>
        <v>15000</v>
      </c>
      <c r="K81" s="179"/>
      <c r="L81" s="179">
        <v>0</v>
      </c>
      <c r="M81" s="179"/>
      <c r="N81" s="179">
        <f t="shared" si="3"/>
        <v>0</v>
      </c>
    </row>
    <row r="82" spans="1:15">
      <c r="A82" s="179"/>
      <c r="B82" s="179"/>
      <c r="C82" s="179"/>
      <c r="D82" s="179" t="s">
        <v>736</v>
      </c>
      <c r="E82" s="179">
        <v>4</v>
      </c>
      <c r="F82" s="179"/>
      <c r="G82" s="179"/>
      <c r="H82" s="179">
        <v>15000</v>
      </c>
      <c r="I82" s="179"/>
      <c r="J82" s="179">
        <f t="shared" si="2"/>
        <v>15000</v>
      </c>
      <c r="K82" s="179"/>
      <c r="L82" s="179">
        <v>0</v>
      </c>
      <c r="M82" s="179"/>
      <c r="N82" s="179">
        <f t="shared" si="3"/>
        <v>0</v>
      </c>
    </row>
    <row r="83" spans="1:15">
      <c r="A83" s="179"/>
      <c r="B83" s="179"/>
      <c r="C83" s="179"/>
      <c r="D83" s="179" t="s">
        <v>529</v>
      </c>
      <c r="E83" s="179" t="s">
        <v>102</v>
      </c>
      <c r="F83" s="179"/>
      <c r="G83" s="179"/>
      <c r="H83" s="179">
        <v>0</v>
      </c>
      <c r="I83" s="179"/>
      <c r="J83" s="179">
        <f t="shared" si="2"/>
        <v>0</v>
      </c>
      <c r="K83" s="179"/>
      <c r="L83" s="179">
        <v>0</v>
      </c>
      <c r="M83" s="179"/>
      <c r="N83" s="179">
        <f t="shared" si="3"/>
        <v>0</v>
      </c>
    </row>
    <row r="84" spans="1:15" ht="30">
      <c r="A84" s="177">
        <v>42</v>
      </c>
      <c r="B84" s="177" t="s">
        <v>739</v>
      </c>
      <c r="C84" s="177">
        <v>9982449656</v>
      </c>
      <c r="D84" s="177" t="s">
        <v>68</v>
      </c>
      <c r="E84" s="177">
        <v>8</v>
      </c>
      <c r="F84" s="177">
        <v>10000</v>
      </c>
      <c r="G84" s="177">
        <v>0</v>
      </c>
      <c r="H84" s="177">
        <v>14000</v>
      </c>
      <c r="I84" s="177">
        <v>20000</v>
      </c>
      <c r="J84" s="177">
        <f t="shared" si="2"/>
        <v>4000</v>
      </c>
      <c r="K84" s="177"/>
      <c r="L84" s="177">
        <v>4000</v>
      </c>
      <c r="M84" s="177"/>
      <c r="N84" s="177">
        <f t="shared" si="3"/>
        <v>4000</v>
      </c>
    </row>
    <row r="85" spans="1:15" ht="30">
      <c r="A85" s="179">
        <v>43</v>
      </c>
      <c r="B85" s="179" t="s">
        <v>741</v>
      </c>
      <c r="C85" s="179">
        <v>9549114451</v>
      </c>
      <c r="D85" s="179" t="s">
        <v>740</v>
      </c>
      <c r="E85" s="179">
        <v>8</v>
      </c>
      <c r="F85" s="179">
        <v>8000</v>
      </c>
      <c r="G85" s="179">
        <v>0</v>
      </c>
      <c r="H85" s="179">
        <v>19600</v>
      </c>
      <c r="I85" s="179">
        <v>5000</v>
      </c>
      <c r="J85" s="179">
        <f t="shared" si="2"/>
        <v>22600</v>
      </c>
      <c r="K85" s="179"/>
      <c r="L85" s="179">
        <v>5000</v>
      </c>
      <c r="M85" s="179">
        <v>2000</v>
      </c>
      <c r="N85" s="179">
        <f t="shared" si="3"/>
        <v>3000</v>
      </c>
    </row>
    <row r="86" spans="1:15" ht="30">
      <c r="A86" s="177">
        <v>44</v>
      </c>
      <c r="B86" s="177" t="s">
        <v>1097</v>
      </c>
      <c r="C86" s="177">
        <v>9982889009</v>
      </c>
      <c r="D86" s="177" t="s">
        <v>743</v>
      </c>
      <c r="E86" s="177">
        <v>8</v>
      </c>
      <c r="F86" s="177">
        <v>0</v>
      </c>
      <c r="G86" s="177">
        <v>2000</v>
      </c>
      <c r="H86" s="177"/>
      <c r="I86" s="177">
        <v>0</v>
      </c>
      <c r="J86" s="177">
        <f t="shared" si="2"/>
        <v>0</v>
      </c>
      <c r="K86" s="177"/>
      <c r="L86" s="177">
        <v>5000</v>
      </c>
      <c r="M86" s="177">
        <v>750</v>
      </c>
      <c r="N86" s="177">
        <f t="shared" si="3"/>
        <v>6250</v>
      </c>
    </row>
    <row r="87" spans="1:15" ht="30">
      <c r="A87" s="177"/>
      <c r="B87" s="177"/>
      <c r="C87" s="177"/>
      <c r="D87" s="177" t="s">
        <v>744</v>
      </c>
      <c r="E87" s="177">
        <v>6</v>
      </c>
      <c r="F87" s="177">
        <v>0</v>
      </c>
      <c r="G87" s="177">
        <v>2000</v>
      </c>
      <c r="H87" s="177"/>
      <c r="I87" s="177">
        <v>0</v>
      </c>
      <c r="J87" s="177">
        <f t="shared" si="2"/>
        <v>0</v>
      </c>
      <c r="K87" s="177"/>
      <c r="L87" s="177">
        <v>5000</v>
      </c>
      <c r="M87" s="177"/>
      <c r="N87" s="177">
        <f t="shared" si="3"/>
        <v>7000</v>
      </c>
    </row>
    <row r="88" spans="1:15" ht="30">
      <c r="A88" s="179">
        <v>45</v>
      </c>
      <c r="B88" s="188" t="s">
        <v>746</v>
      </c>
      <c r="C88" s="188">
        <v>9929160186</v>
      </c>
      <c r="D88" s="179" t="s">
        <v>162</v>
      </c>
      <c r="E88" s="179">
        <v>8</v>
      </c>
      <c r="F88" s="179">
        <v>20000</v>
      </c>
      <c r="G88" s="179">
        <v>0</v>
      </c>
      <c r="H88" s="179">
        <v>15000</v>
      </c>
      <c r="I88" s="179">
        <v>62000</v>
      </c>
      <c r="J88" s="179">
        <f t="shared" si="2"/>
        <v>-27000</v>
      </c>
      <c r="K88" s="179" t="s">
        <v>663</v>
      </c>
      <c r="L88" s="179">
        <v>0</v>
      </c>
      <c r="M88" s="179"/>
      <c r="N88" s="179">
        <f t="shared" si="3"/>
        <v>0</v>
      </c>
      <c r="O88" s="42">
        <v>385000</v>
      </c>
    </row>
    <row r="89" spans="1:15">
      <c r="A89" s="179"/>
      <c r="B89" s="179"/>
      <c r="C89" s="179"/>
      <c r="D89" s="179" t="s">
        <v>163</v>
      </c>
      <c r="E89" s="179">
        <v>7</v>
      </c>
      <c r="F89" s="179"/>
      <c r="G89" s="179"/>
      <c r="H89" s="179">
        <v>15000</v>
      </c>
      <c r="I89" s="179"/>
      <c r="J89" s="179">
        <f t="shared" si="2"/>
        <v>15000</v>
      </c>
      <c r="K89" s="179"/>
      <c r="L89" s="179">
        <v>0</v>
      </c>
      <c r="M89" s="179"/>
      <c r="N89" s="179">
        <f t="shared" si="3"/>
        <v>0</v>
      </c>
    </row>
    <row r="90" spans="1:15">
      <c r="A90" s="179"/>
      <c r="B90" s="179"/>
      <c r="C90" s="179"/>
      <c r="D90" s="179" t="s">
        <v>165</v>
      </c>
      <c r="E90" s="179">
        <v>6</v>
      </c>
      <c r="F90" s="179"/>
      <c r="G90" s="179"/>
      <c r="H90" s="179">
        <v>15000</v>
      </c>
      <c r="I90" s="179"/>
      <c r="J90" s="179">
        <f t="shared" si="2"/>
        <v>15000</v>
      </c>
      <c r="K90" s="179"/>
      <c r="L90" s="179">
        <v>0</v>
      </c>
      <c r="M90" s="179"/>
      <c r="N90" s="179">
        <f t="shared" si="3"/>
        <v>0</v>
      </c>
    </row>
    <row r="91" spans="1:15">
      <c r="A91" s="179"/>
      <c r="B91" s="179"/>
      <c r="C91" s="179"/>
      <c r="D91" s="179" t="s">
        <v>745</v>
      </c>
      <c r="E91" s="179">
        <v>6</v>
      </c>
      <c r="F91" s="179"/>
      <c r="G91" s="179"/>
      <c r="H91" s="179">
        <v>10000</v>
      </c>
      <c r="I91" s="179"/>
      <c r="J91" s="179">
        <f t="shared" si="2"/>
        <v>10000</v>
      </c>
      <c r="K91" s="179"/>
      <c r="L91" s="179">
        <v>0</v>
      </c>
      <c r="M91" s="179"/>
      <c r="N91" s="179">
        <f t="shared" si="3"/>
        <v>0</v>
      </c>
    </row>
    <row r="92" spans="1:15">
      <c r="A92" s="179"/>
      <c r="B92" s="179"/>
      <c r="C92" s="179"/>
      <c r="D92" s="179" t="s">
        <v>164</v>
      </c>
      <c r="E92" s="179">
        <v>4</v>
      </c>
      <c r="F92" s="179"/>
      <c r="G92" s="179"/>
      <c r="H92" s="179">
        <v>0</v>
      </c>
      <c r="I92" s="179"/>
      <c r="J92" s="179">
        <f t="shared" si="2"/>
        <v>0</v>
      </c>
      <c r="K92" s="179"/>
      <c r="L92" s="179">
        <v>0</v>
      </c>
      <c r="M92" s="179"/>
      <c r="N92" s="179">
        <f t="shared" si="3"/>
        <v>0</v>
      </c>
    </row>
    <row r="93" spans="1:15">
      <c r="A93" s="177"/>
      <c r="B93" s="177"/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</row>
    <row r="94" spans="1:15" ht="30">
      <c r="A94" s="6">
        <v>46</v>
      </c>
      <c r="B94" s="6" t="s">
        <v>1134</v>
      </c>
      <c r="C94" s="6">
        <v>8107448001</v>
      </c>
      <c r="D94" s="6" t="s">
        <v>166</v>
      </c>
      <c r="E94" s="6">
        <v>8</v>
      </c>
      <c r="F94" s="6">
        <v>3200</v>
      </c>
      <c r="G94" s="6">
        <v>0</v>
      </c>
      <c r="H94" s="6">
        <v>12000</v>
      </c>
      <c r="I94" s="6">
        <v>13200</v>
      </c>
      <c r="J94" s="6">
        <f t="shared" si="2"/>
        <v>2000</v>
      </c>
      <c r="K94" s="6"/>
      <c r="L94" s="6">
        <v>0</v>
      </c>
      <c r="M94" s="6"/>
      <c r="N94" s="6">
        <f t="shared" si="3"/>
        <v>0</v>
      </c>
    </row>
    <row r="95" spans="1:15" ht="30">
      <c r="A95" s="177">
        <v>47</v>
      </c>
      <c r="B95" s="177" t="s">
        <v>748</v>
      </c>
      <c r="C95" s="177">
        <v>9928048821</v>
      </c>
      <c r="D95" s="177" t="s">
        <v>167</v>
      </c>
      <c r="E95" s="177">
        <v>8</v>
      </c>
      <c r="F95" s="177">
        <v>7300</v>
      </c>
      <c r="G95" s="177">
        <v>0</v>
      </c>
      <c r="H95" s="177">
        <v>13000</v>
      </c>
      <c r="I95" s="177">
        <v>15300</v>
      </c>
      <c r="J95" s="177">
        <f t="shared" si="2"/>
        <v>5000</v>
      </c>
      <c r="K95" s="177"/>
      <c r="L95" s="177">
        <v>7000</v>
      </c>
      <c r="M95" s="177">
        <v>7000</v>
      </c>
      <c r="N95" s="177">
        <f t="shared" si="3"/>
        <v>0</v>
      </c>
    </row>
    <row r="96" spans="1:15" ht="30">
      <c r="A96" s="6">
        <v>48</v>
      </c>
      <c r="B96" s="180" t="s">
        <v>751</v>
      </c>
      <c r="C96" s="180">
        <v>9549142881</v>
      </c>
      <c r="D96" s="6" t="s">
        <v>174</v>
      </c>
      <c r="E96" s="6">
        <v>8</v>
      </c>
      <c r="F96" s="6">
        <v>33500</v>
      </c>
      <c r="G96" s="6">
        <v>0</v>
      </c>
      <c r="H96" s="6">
        <v>19600</v>
      </c>
      <c r="I96" s="6">
        <v>27000</v>
      </c>
      <c r="J96" s="6">
        <f t="shared" si="2"/>
        <v>26100</v>
      </c>
      <c r="K96" s="6" t="s">
        <v>1021</v>
      </c>
      <c r="L96" s="6">
        <v>3000</v>
      </c>
      <c r="M96" s="6">
        <v>500</v>
      </c>
      <c r="N96" s="6">
        <f t="shared" si="3"/>
        <v>2500</v>
      </c>
    </row>
    <row r="97" spans="1:14">
      <c r="A97" s="6"/>
      <c r="B97" s="6"/>
      <c r="C97" s="6"/>
      <c r="D97" s="6" t="s">
        <v>749</v>
      </c>
      <c r="E97" s="6">
        <v>6</v>
      </c>
      <c r="F97" s="6"/>
      <c r="G97" s="6">
        <v>0</v>
      </c>
      <c r="H97" s="6">
        <v>16100</v>
      </c>
      <c r="I97" s="6"/>
      <c r="J97" s="6">
        <f t="shared" si="2"/>
        <v>16100</v>
      </c>
      <c r="K97" s="6"/>
      <c r="L97" s="6">
        <v>3000</v>
      </c>
      <c r="M97" s="6">
        <v>500</v>
      </c>
      <c r="N97" s="6">
        <f t="shared" si="3"/>
        <v>2500</v>
      </c>
    </row>
    <row r="98" spans="1:14">
      <c r="A98" s="6"/>
      <c r="B98" s="6"/>
      <c r="C98" s="6"/>
      <c r="D98" s="6" t="s">
        <v>750</v>
      </c>
      <c r="E98" s="6">
        <v>3</v>
      </c>
      <c r="F98" s="6"/>
      <c r="G98" s="6">
        <v>0</v>
      </c>
      <c r="H98" s="6">
        <v>14500</v>
      </c>
      <c r="I98" s="6"/>
      <c r="J98" s="6">
        <f t="shared" si="2"/>
        <v>14500</v>
      </c>
      <c r="K98" s="6"/>
      <c r="L98" s="6">
        <v>3000</v>
      </c>
      <c r="M98" s="6">
        <v>500</v>
      </c>
      <c r="N98" s="6">
        <f t="shared" si="3"/>
        <v>2500</v>
      </c>
    </row>
    <row r="99" spans="1:14">
      <c r="A99" s="6"/>
      <c r="B99" s="6"/>
      <c r="C99" s="6"/>
      <c r="D99" s="6" t="s">
        <v>177</v>
      </c>
      <c r="E99" s="6">
        <v>1</v>
      </c>
      <c r="F99" s="6"/>
      <c r="G99" s="6">
        <v>0</v>
      </c>
      <c r="H99" s="6">
        <v>12600</v>
      </c>
      <c r="I99" s="6"/>
      <c r="J99" s="6">
        <f t="shared" si="2"/>
        <v>12600</v>
      </c>
      <c r="K99" s="6"/>
      <c r="L99" s="6">
        <v>3000</v>
      </c>
      <c r="M99" s="6">
        <v>500</v>
      </c>
      <c r="N99" s="6">
        <f t="shared" si="3"/>
        <v>2500</v>
      </c>
    </row>
    <row r="100" spans="1:14">
      <c r="A100" s="6"/>
      <c r="B100" s="6"/>
      <c r="C100" s="6"/>
      <c r="D100" s="6" t="s">
        <v>291</v>
      </c>
      <c r="E100" s="6">
        <v>1</v>
      </c>
      <c r="F100" s="6"/>
      <c r="G100" s="6">
        <v>0</v>
      </c>
      <c r="H100" s="6">
        <v>0</v>
      </c>
      <c r="I100" s="6"/>
      <c r="J100" s="6">
        <f t="shared" si="2"/>
        <v>0</v>
      </c>
      <c r="K100" s="6"/>
      <c r="L100" s="6">
        <v>3000</v>
      </c>
      <c r="M100" s="6">
        <v>500</v>
      </c>
      <c r="N100" s="6">
        <f t="shared" si="3"/>
        <v>2500</v>
      </c>
    </row>
    <row r="101" spans="1:14" ht="30">
      <c r="A101" s="177">
        <v>49</v>
      </c>
      <c r="B101" s="177" t="s">
        <v>752</v>
      </c>
      <c r="C101" s="177">
        <v>8426969905</v>
      </c>
      <c r="D101" s="177" t="s">
        <v>179</v>
      </c>
      <c r="E101" s="177">
        <v>8</v>
      </c>
      <c r="F101" s="177">
        <v>13000</v>
      </c>
      <c r="G101" s="177">
        <v>2000</v>
      </c>
      <c r="H101" s="177">
        <v>19600</v>
      </c>
      <c r="I101" s="177">
        <v>33000</v>
      </c>
      <c r="J101" s="177">
        <f t="shared" si="2"/>
        <v>-400</v>
      </c>
      <c r="K101" s="177"/>
      <c r="L101" s="177">
        <v>6000</v>
      </c>
      <c r="M101" s="177">
        <v>2000</v>
      </c>
      <c r="N101" s="177">
        <f t="shared" si="3"/>
        <v>6000</v>
      </c>
    </row>
    <row r="102" spans="1:14">
      <c r="A102" s="177"/>
      <c r="B102" s="177"/>
      <c r="C102" s="177"/>
      <c r="D102" s="177" t="s">
        <v>1022</v>
      </c>
      <c r="E102" s="177">
        <v>1</v>
      </c>
      <c r="F102" s="177">
        <v>0</v>
      </c>
      <c r="G102" s="177">
        <v>0</v>
      </c>
      <c r="H102" s="177">
        <v>12600</v>
      </c>
      <c r="I102" s="177"/>
      <c r="J102" s="177">
        <f t="shared" si="2"/>
        <v>12600</v>
      </c>
      <c r="K102" s="177"/>
      <c r="L102" s="177">
        <v>6000</v>
      </c>
      <c r="M102" s="177"/>
      <c r="N102" s="177">
        <f t="shared" si="3"/>
        <v>6000</v>
      </c>
    </row>
    <row r="103" spans="1:14" ht="30">
      <c r="A103" s="6">
        <v>50</v>
      </c>
      <c r="B103" s="180" t="s">
        <v>753</v>
      </c>
      <c r="C103" s="180"/>
      <c r="D103" s="6" t="s">
        <v>180</v>
      </c>
      <c r="E103" s="6">
        <v>8</v>
      </c>
      <c r="F103" s="6">
        <v>12000</v>
      </c>
      <c r="G103" s="6">
        <v>0</v>
      </c>
      <c r="H103" s="6">
        <v>0</v>
      </c>
      <c r="I103" s="6">
        <v>12000</v>
      </c>
      <c r="J103" s="6">
        <f t="shared" si="2"/>
        <v>0</v>
      </c>
      <c r="K103" s="180" t="s">
        <v>612</v>
      </c>
      <c r="L103" s="6">
        <v>0</v>
      </c>
      <c r="M103" s="6"/>
      <c r="N103" s="6">
        <f t="shared" si="3"/>
        <v>0</v>
      </c>
    </row>
    <row r="104" spans="1:14" ht="30">
      <c r="A104" s="177">
        <v>51</v>
      </c>
      <c r="B104" s="177" t="s">
        <v>774</v>
      </c>
      <c r="C104" s="177"/>
      <c r="D104" s="177" t="s">
        <v>754</v>
      </c>
      <c r="E104" s="177">
        <v>8</v>
      </c>
      <c r="F104" s="177">
        <v>4000</v>
      </c>
      <c r="G104" s="177">
        <v>0</v>
      </c>
      <c r="H104" s="177">
        <v>0</v>
      </c>
      <c r="I104" s="177">
        <v>4000</v>
      </c>
      <c r="J104" s="177">
        <f t="shared" si="2"/>
        <v>0</v>
      </c>
      <c r="K104" s="178" t="s">
        <v>612</v>
      </c>
      <c r="L104" s="177">
        <v>0</v>
      </c>
      <c r="M104" s="177"/>
      <c r="N104" s="177">
        <f t="shared" si="3"/>
        <v>0</v>
      </c>
    </row>
    <row r="105" spans="1:14" ht="30">
      <c r="A105" s="6">
        <v>52</v>
      </c>
      <c r="B105" s="6" t="s">
        <v>756</v>
      </c>
      <c r="C105" s="6"/>
      <c r="D105" s="6" t="s">
        <v>755</v>
      </c>
      <c r="E105" s="6">
        <v>8</v>
      </c>
      <c r="F105" s="6">
        <v>10000</v>
      </c>
      <c r="G105" s="6">
        <v>0</v>
      </c>
      <c r="H105" s="6">
        <v>0</v>
      </c>
      <c r="I105" s="6">
        <v>10000</v>
      </c>
      <c r="J105" s="6">
        <f t="shared" si="2"/>
        <v>0</v>
      </c>
      <c r="K105" s="180" t="s">
        <v>612</v>
      </c>
      <c r="L105" s="6">
        <v>0</v>
      </c>
      <c r="M105" s="6"/>
      <c r="N105" s="6">
        <f t="shared" si="3"/>
        <v>0</v>
      </c>
    </row>
    <row r="106" spans="1:14" ht="30">
      <c r="A106" s="177">
        <v>53</v>
      </c>
      <c r="B106" s="177" t="s">
        <v>773</v>
      </c>
      <c r="C106" s="177">
        <v>9928532421</v>
      </c>
      <c r="D106" s="177" t="s">
        <v>172</v>
      </c>
      <c r="E106" s="177">
        <v>8</v>
      </c>
      <c r="F106" s="177">
        <v>5000</v>
      </c>
      <c r="G106" s="177">
        <v>0</v>
      </c>
      <c r="H106" s="177">
        <v>19600</v>
      </c>
      <c r="I106" s="177">
        <v>20000</v>
      </c>
      <c r="J106" s="177">
        <f t="shared" si="2"/>
        <v>4600</v>
      </c>
      <c r="K106" s="177"/>
      <c r="L106" s="177">
        <v>7000</v>
      </c>
      <c r="M106" s="177">
        <v>2000</v>
      </c>
      <c r="N106" s="177">
        <f t="shared" si="3"/>
        <v>5000</v>
      </c>
    </row>
    <row r="107" spans="1:14" ht="30">
      <c r="A107" s="6">
        <v>54</v>
      </c>
      <c r="B107" s="6" t="s">
        <v>1096</v>
      </c>
      <c r="C107" s="6">
        <v>9928680497</v>
      </c>
      <c r="D107" s="6" t="s">
        <v>207</v>
      </c>
      <c r="E107" s="6">
        <v>7</v>
      </c>
      <c r="F107" s="6">
        <v>8000</v>
      </c>
      <c r="G107" s="6">
        <v>0</v>
      </c>
      <c r="H107" s="6">
        <v>17100</v>
      </c>
      <c r="I107" s="6">
        <v>20000</v>
      </c>
      <c r="J107" s="6">
        <f t="shared" si="2"/>
        <v>5100</v>
      </c>
      <c r="K107" s="6"/>
      <c r="L107" s="6">
        <v>5000</v>
      </c>
      <c r="M107" s="6">
        <v>1000</v>
      </c>
      <c r="N107" s="6">
        <f t="shared" si="3"/>
        <v>4000</v>
      </c>
    </row>
    <row r="108" spans="1:14">
      <c r="A108" s="6"/>
      <c r="B108" s="6"/>
      <c r="C108" s="6"/>
      <c r="D108" s="6" t="s">
        <v>775</v>
      </c>
      <c r="E108" s="6">
        <v>2</v>
      </c>
      <c r="F108" s="6"/>
      <c r="G108" s="6"/>
      <c r="H108" s="6"/>
      <c r="I108" s="6"/>
      <c r="J108" s="6">
        <f t="shared" si="2"/>
        <v>0</v>
      </c>
      <c r="K108" s="6"/>
      <c r="L108" s="6">
        <v>5000</v>
      </c>
      <c r="M108" s="6">
        <v>1000</v>
      </c>
      <c r="N108" s="6">
        <f t="shared" si="3"/>
        <v>4000</v>
      </c>
    </row>
    <row r="109" spans="1:14" ht="30">
      <c r="A109" s="177">
        <v>55</v>
      </c>
      <c r="B109" s="177" t="s">
        <v>839</v>
      </c>
      <c r="C109" s="177">
        <v>9828565028</v>
      </c>
      <c r="D109" s="177" t="s">
        <v>187</v>
      </c>
      <c r="E109" s="177">
        <v>7</v>
      </c>
      <c r="F109" s="177">
        <v>13000</v>
      </c>
      <c r="G109" s="177">
        <v>0</v>
      </c>
      <c r="H109" s="177">
        <v>17100</v>
      </c>
      <c r="I109" s="177">
        <v>30000</v>
      </c>
      <c r="J109" s="177">
        <f t="shared" si="2"/>
        <v>100</v>
      </c>
      <c r="K109" s="177"/>
      <c r="L109" s="177">
        <v>5000</v>
      </c>
      <c r="M109" s="177">
        <v>1000</v>
      </c>
      <c r="N109" s="177">
        <f t="shared" si="3"/>
        <v>4000</v>
      </c>
    </row>
    <row r="110" spans="1:14">
      <c r="A110" s="177"/>
      <c r="B110" s="177"/>
      <c r="C110" s="177"/>
      <c r="D110" s="177" t="s">
        <v>188</v>
      </c>
      <c r="E110" s="177">
        <v>6</v>
      </c>
      <c r="F110" s="177"/>
      <c r="G110" s="177"/>
      <c r="H110" s="177">
        <v>16100</v>
      </c>
      <c r="I110" s="177"/>
      <c r="J110" s="177">
        <f t="shared" si="2"/>
        <v>16100</v>
      </c>
      <c r="K110" s="177"/>
      <c r="L110" s="177">
        <v>5000</v>
      </c>
      <c r="M110" s="177">
        <v>1000</v>
      </c>
      <c r="N110" s="177">
        <f t="shared" si="3"/>
        <v>4000</v>
      </c>
    </row>
    <row r="111" spans="1:14">
      <c r="A111" s="179">
        <v>56</v>
      </c>
      <c r="B111" s="179" t="s">
        <v>920</v>
      </c>
      <c r="C111" s="179">
        <v>9829036692</v>
      </c>
      <c r="D111" s="179" t="s">
        <v>211</v>
      </c>
      <c r="E111" s="179">
        <v>6</v>
      </c>
      <c r="F111" s="179">
        <v>10500</v>
      </c>
      <c r="G111" s="179">
        <v>0</v>
      </c>
      <c r="H111" s="179"/>
      <c r="I111" s="179"/>
      <c r="J111" s="179">
        <f t="shared" si="2"/>
        <v>10500</v>
      </c>
      <c r="K111" s="188" t="s">
        <v>612</v>
      </c>
      <c r="L111" s="179">
        <v>0</v>
      </c>
      <c r="M111" s="179"/>
      <c r="N111" s="179">
        <f t="shared" si="3"/>
        <v>0</v>
      </c>
    </row>
    <row r="112" spans="1:14">
      <c r="A112" s="177">
        <v>57</v>
      </c>
      <c r="B112" s="177" t="s">
        <v>842</v>
      </c>
      <c r="C112" s="177">
        <v>8696025117</v>
      </c>
      <c r="D112" s="177" t="s">
        <v>189</v>
      </c>
      <c r="E112" s="177">
        <v>7</v>
      </c>
      <c r="F112" s="177">
        <v>6000</v>
      </c>
      <c r="G112" s="177">
        <v>0</v>
      </c>
      <c r="H112" s="177">
        <v>35000</v>
      </c>
      <c r="I112" s="177">
        <v>20000</v>
      </c>
      <c r="J112" s="177">
        <f t="shared" si="2"/>
        <v>21000</v>
      </c>
      <c r="K112" s="177"/>
      <c r="L112" s="177">
        <v>0</v>
      </c>
      <c r="M112" s="177"/>
      <c r="N112" s="177">
        <f t="shared" si="3"/>
        <v>0</v>
      </c>
    </row>
    <row r="113" spans="1:15">
      <c r="A113" s="177"/>
      <c r="B113" s="177"/>
      <c r="C113" s="177"/>
      <c r="D113" s="177" t="s">
        <v>840</v>
      </c>
      <c r="E113" s="177">
        <v>6</v>
      </c>
      <c r="F113" s="177"/>
      <c r="G113" s="177">
        <v>0</v>
      </c>
      <c r="H113" s="177"/>
      <c r="I113" s="177"/>
      <c r="J113" s="177">
        <f t="shared" si="2"/>
        <v>0</v>
      </c>
      <c r="K113" s="177"/>
      <c r="L113" s="177">
        <v>0</v>
      </c>
      <c r="M113" s="177"/>
      <c r="N113" s="177">
        <f t="shared" si="3"/>
        <v>0</v>
      </c>
    </row>
    <row r="114" spans="1:15">
      <c r="A114" s="177"/>
      <c r="B114" s="177"/>
      <c r="C114" s="177"/>
      <c r="D114" s="177" t="s">
        <v>841</v>
      </c>
      <c r="E114" s="177">
        <v>2</v>
      </c>
      <c r="F114" s="177"/>
      <c r="G114" s="177">
        <v>0</v>
      </c>
      <c r="H114" s="177"/>
      <c r="I114" s="177"/>
      <c r="J114" s="177">
        <f t="shared" si="2"/>
        <v>0</v>
      </c>
      <c r="K114" s="177"/>
      <c r="L114" s="177">
        <v>0</v>
      </c>
      <c r="M114" s="177"/>
      <c r="N114" s="177">
        <f t="shared" si="3"/>
        <v>0</v>
      </c>
    </row>
    <row r="115" spans="1:15" ht="30">
      <c r="A115" s="179">
        <v>58</v>
      </c>
      <c r="B115" s="179" t="s">
        <v>843</v>
      </c>
      <c r="C115" s="179">
        <v>9982936131</v>
      </c>
      <c r="D115" s="179" t="s">
        <v>210</v>
      </c>
      <c r="E115" s="179">
        <v>7</v>
      </c>
      <c r="F115" s="179">
        <v>0</v>
      </c>
      <c r="G115" s="179">
        <v>3600</v>
      </c>
      <c r="H115" s="179">
        <v>0</v>
      </c>
      <c r="I115" s="179"/>
      <c r="J115" s="179">
        <f t="shared" si="2"/>
        <v>0</v>
      </c>
      <c r="K115" s="179" t="s">
        <v>844</v>
      </c>
      <c r="L115" s="179">
        <v>7000</v>
      </c>
      <c r="M115" s="179">
        <v>2000</v>
      </c>
      <c r="N115" s="179">
        <f t="shared" si="3"/>
        <v>8600</v>
      </c>
    </row>
    <row r="116" spans="1:15" ht="30">
      <c r="A116" s="177">
        <v>59</v>
      </c>
      <c r="B116" s="177" t="s">
        <v>847</v>
      </c>
      <c r="C116" s="177">
        <v>9828998919</v>
      </c>
      <c r="D116" s="177" t="s">
        <v>192</v>
      </c>
      <c r="E116" s="177">
        <v>7</v>
      </c>
      <c r="F116" s="177">
        <v>15000</v>
      </c>
      <c r="G116" s="177">
        <v>0</v>
      </c>
      <c r="H116" s="177">
        <v>17100</v>
      </c>
      <c r="I116" s="177">
        <v>25000</v>
      </c>
      <c r="J116" s="177">
        <f t="shared" si="2"/>
        <v>7100</v>
      </c>
      <c r="K116" s="177"/>
      <c r="L116" s="177">
        <v>5000</v>
      </c>
      <c r="M116" s="177">
        <v>2500</v>
      </c>
      <c r="N116" s="177">
        <f t="shared" si="3"/>
        <v>2500</v>
      </c>
    </row>
    <row r="117" spans="1:15">
      <c r="A117" s="177"/>
      <c r="B117" s="177"/>
      <c r="C117" s="177"/>
      <c r="D117" s="177" t="s">
        <v>845</v>
      </c>
      <c r="E117" s="177">
        <v>5</v>
      </c>
      <c r="F117" s="177"/>
      <c r="G117" s="177"/>
      <c r="H117" s="177">
        <v>15200</v>
      </c>
      <c r="I117" s="177"/>
      <c r="J117" s="177">
        <f t="shared" si="2"/>
        <v>15200</v>
      </c>
      <c r="K117" s="177"/>
      <c r="L117" s="177">
        <v>5000</v>
      </c>
      <c r="M117" s="177">
        <v>2500</v>
      </c>
      <c r="N117" s="177">
        <f t="shared" si="3"/>
        <v>2500</v>
      </c>
    </row>
    <row r="118" spans="1:15">
      <c r="A118" s="177"/>
      <c r="B118" s="177"/>
      <c r="C118" s="177"/>
      <c r="D118" s="177" t="s">
        <v>846</v>
      </c>
      <c r="E118" s="177" t="s">
        <v>102</v>
      </c>
      <c r="F118" s="177"/>
      <c r="G118" s="177"/>
      <c r="H118" s="177">
        <v>0</v>
      </c>
      <c r="I118" s="177"/>
      <c r="J118" s="177">
        <f t="shared" si="2"/>
        <v>0</v>
      </c>
      <c r="K118" s="177"/>
      <c r="L118" s="177">
        <v>5000</v>
      </c>
      <c r="M118" s="177">
        <v>2500</v>
      </c>
      <c r="N118" s="177">
        <f t="shared" si="3"/>
        <v>2500</v>
      </c>
    </row>
    <row r="119" spans="1:15">
      <c r="A119" s="179">
        <v>60</v>
      </c>
      <c r="B119" s="179" t="s">
        <v>850</v>
      </c>
      <c r="C119" s="179">
        <v>9929194363</v>
      </c>
      <c r="D119" s="179" t="s">
        <v>849</v>
      </c>
      <c r="E119" s="179">
        <v>7</v>
      </c>
      <c r="F119" s="179">
        <v>0</v>
      </c>
      <c r="G119" s="179">
        <v>0</v>
      </c>
      <c r="H119" s="179">
        <v>17100</v>
      </c>
      <c r="I119" s="179">
        <v>0</v>
      </c>
      <c r="J119" s="179">
        <f t="shared" si="2"/>
        <v>17100</v>
      </c>
      <c r="K119" s="179"/>
      <c r="L119" s="179">
        <v>7000</v>
      </c>
      <c r="M119" s="179"/>
      <c r="N119" s="179">
        <f t="shared" si="3"/>
        <v>7000</v>
      </c>
    </row>
    <row r="120" spans="1:15" ht="30">
      <c r="A120" s="177">
        <v>61</v>
      </c>
      <c r="B120" s="177" t="s">
        <v>852</v>
      </c>
      <c r="C120" s="177">
        <v>9983295824</v>
      </c>
      <c r="D120" s="177" t="s">
        <v>195</v>
      </c>
      <c r="E120" s="177">
        <v>7</v>
      </c>
      <c r="F120" s="177">
        <v>10200</v>
      </c>
      <c r="G120" s="177">
        <v>0</v>
      </c>
      <c r="H120" s="177">
        <v>0</v>
      </c>
      <c r="I120" s="177">
        <v>0</v>
      </c>
      <c r="J120" s="177">
        <f t="shared" ref="J120:J190" si="4">F120+H120-I120</f>
        <v>10200</v>
      </c>
      <c r="K120" s="178" t="s">
        <v>1023</v>
      </c>
      <c r="L120" s="177">
        <v>0</v>
      </c>
      <c r="M120" s="177">
        <v>0</v>
      </c>
      <c r="N120" s="177">
        <f t="shared" ref="N120:N190" si="5">G120+L120-M120</f>
        <v>0</v>
      </c>
    </row>
    <row r="121" spans="1:15" ht="30">
      <c r="A121" s="179">
        <v>62</v>
      </c>
      <c r="B121" s="179" t="s">
        <v>856</v>
      </c>
      <c r="C121" s="179">
        <v>9785757003</v>
      </c>
      <c r="D121" s="179" t="s">
        <v>196</v>
      </c>
      <c r="E121" s="179">
        <v>7</v>
      </c>
      <c r="F121" s="179">
        <v>5000</v>
      </c>
      <c r="G121" s="179">
        <v>0</v>
      </c>
      <c r="H121" s="179">
        <v>17100</v>
      </c>
      <c r="I121" s="179">
        <v>51200</v>
      </c>
      <c r="J121" s="179">
        <f t="shared" si="4"/>
        <v>-29100</v>
      </c>
      <c r="K121" s="179"/>
      <c r="L121" s="179">
        <v>5000</v>
      </c>
      <c r="M121" s="179"/>
      <c r="N121" s="179">
        <f t="shared" si="5"/>
        <v>5000</v>
      </c>
      <c r="O121" s="42" t="s">
        <v>1135</v>
      </c>
    </row>
    <row r="122" spans="1:15">
      <c r="A122" s="179"/>
      <c r="B122" s="179"/>
      <c r="C122" s="179"/>
      <c r="D122" s="179" t="s">
        <v>854</v>
      </c>
      <c r="E122" s="179">
        <v>4</v>
      </c>
      <c r="F122" s="179"/>
      <c r="G122" s="179"/>
      <c r="H122" s="179">
        <v>15200</v>
      </c>
      <c r="I122" s="179"/>
      <c r="J122" s="179">
        <f t="shared" si="4"/>
        <v>15200</v>
      </c>
      <c r="K122" s="179"/>
      <c r="L122" s="179">
        <v>5000</v>
      </c>
      <c r="M122" s="179"/>
      <c r="N122" s="179">
        <f t="shared" si="5"/>
        <v>5000</v>
      </c>
    </row>
    <row r="123" spans="1:15">
      <c r="A123" s="179"/>
      <c r="B123" s="179"/>
      <c r="C123" s="179"/>
      <c r="D123" s="179" t="s">
        <v>853</v>
      </c>
      <c r="E123" s="179">
        <v>4</v>
      </c>
      <c r="F123" s="179"/>
      <c r="G123" s="179"/>
      <c r="H123" s="179">
        <v>15200</v>
      </c>
      <c r="I123" s="179"/>
      <c r="J123" s="179">
        <f t="shared" si="4"/>
        <v>15200</v>
      </c>
      <c r="K123" s="179"/>
      <c r="L123" s="179">
        <v>5000</v>
      </c>
      <c r="M123" s="179"/>
      <c r="N123" s="179">
        <f t="shared" si="5"/>
        <v>5000</v>
      </c>
    </row>
    <row r="124" spans="1:15">
      <c r="A124" s="179"/>
      <c r="B124" s="179"/>
      <c r="C124" s="179"/>
      <c r="D124" s="179" t="s">
        <v>855</v>
      </c>
      <c r="E124" s="179">
        <v>1</v>
      </c>
      <c r="F124" s="179"/>
      <c r="G124" s="179"/>
      <c r="H124" s="179">
        <v>0</v>
      </c>
      <c r="I124" s="179"/>
      <c r="J124" s="179">
        <f t="shared" si="4"/>
        <v>0</v>
      </c>
      <c r="K124" s="179"/>
      <c r="L124" s="179">
        <v>5000</v>
      </c>
      <c r="M124" s="179"/>
      <c r="N124" s="179">
        <f t="shared" si="5"/>
        <v>5000</v>
      </c>
    </row>
    <row r="125" spans="1:15" ht="30">
      <c r="A125" s="177">
        <v>63</v>
      </c>
      <c r="B125" s="177" t="s">
        <v>352</v>
      </c>
      <c r="C125" s="177">
        <v>9983855280</v>
      </c>
      <c r="D125" s="177" t="s">
        <v>857</v>
      </c>
      <c r="E125" s="177">
        <v>7</v>
      </c>
      <c r="F125" s="177">
        <v>23000</v>
      </c>
      <c r="G125" s="177">
        <v>0</v>
      </c>
      <c r="H125" s="177">
        <v>17100</v>
      </c>
      <c r="I125" s="177">
        <v>18000</v>
      </c>
      <c r="J125" s="177">
        <f t="shared" si="4"/>
        <v>22100</v>
      </c>
      <c r="K125" s="177"/>
      <c r="L125" s="177">
        <v>6000</v>
      </c>
      <c r="M125" s="177"/>
      <c r="N125" s="177">
        <f t="shared" si="5"/>
        <v>6000</v>
      </c>
    </row>
    <row r="126" spans="1:15">
      <c r="A126" s="177"/>
      <c r="B126" s="177"/>
      <c r="C126" s="177"/>
      <c r="D126" s="177" t="s">
        <v>213</v>
      </c>
      <c r="E126" s="177">
        <v>6</v>
      </c>
      <c r="F126" s="177"/>
      <c r="G126" s="177"/>
      <c r="H126" s="177">
        <v>16100</v>
      </c>
      <c r="I126" s="177"/>
      <c r="J126" s="177">
        <f t="shared" si="4"/>
        <v>16100</v>
      </c>
      <c r="K126" s="177"/>
      <c r="L126" s="177">
        <v>6000</v>
      </c>
      <c r="M126" s="177"/>
      <c r="N126" s="177">
        <f t="shared" si="5"/>
        <v>6000</v>
      </c>
    </row>
    <row r="127" spans="1:15">
      <c r="A127" s="177"/>
      <c r="B127" s="177"/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</row>
    <row r="128" spans="1:15">
      <c r="A128" s="6">
        <v>64</v>
      </c>
      <c r="B128" s="6" t="s">
        <v>858</v>
      </c>
      <c r="C128" s="6">
        <v>9024690572</v>
      </c>
      <c r="D128" s="6" t="s">
        <v>221</v>
      </c>
      <c r="E128" s="6">
        <v>7</v>
      </c>
      <c r="F128" s="6">
        <v>5000</v>
      </c>
      <c r="G128" s="6">
        <v>0</v>
      </c>
      <c r="H128" s="6">
        <v>0</v>
      </c>
      <c r="I128" s="6">
        <v>0</v>
      </c>
      <c r="J128" s="6">
        <f t="shared" si="4"/>
        <v>5000</v>
      </c>
      <c r="K128" s="180" t="s">
        <v>612</v>
      </c>
      <c r="L128" s="6">
        <v>0</v>
      </c>
      <c r="M128" s="6"/>
      <c r="N128" s="6">
        <f t="shared" si="5"/>
        <v>0</v>
      </c>
    </row>
    <row r="129" spans="1:14" ht="30">
      <c r="A129" s="177">
        <v>65</v>
      </c>
      <c r="B129" s="177" t="s">
        <v>859</v>
      </c>
      <c r="C129" s="177">
        <v>9588204565</v>
      </c>
      <c r="D129" s="177" t="s">
        <v>200</v>
      </c>
      <c r="E129" s="177">
        <v>6</v>
      </c>
      <c r="F129" s="177">
        <v>20000</v>
      </c>
      <c r="G129" s="177">
        <v>0</v>
      </c>
      <c r="H129" s="177">
        <v>0</v>
      </c>
      <c r="I129" s="177">
        <v>0</v>
      </c>
      <c r="J129" s="177">
        <f t="shared" si="4"/>
        <v>20000</v>
      </c>
      <c r="K129" s="178" t="s">
        <v>1023</v>
      </c>
      <c r="L129" s="177">
        <v>0</v>
      </c>
      <c r="M129" s="177"/>
      <c r="N129" s="177">
        <f t="shared" si="5"/>
        <v>0</v>
      </c>
    </row>
    <row r="130" spans="1:14" ht="30">
      <c r="A130" s="177"/>
      <c r="B130" s="177"/>
      <c r="C130" s="177"/>
      <c r="D130" s="177" t="s">
        <v>201</v>
      </c>
      <c r="E130" s="177">
        <v>4</v>
      </c>
      <c r="F130" s="177"/>
      <c r="G130" s="177">
        <v>0</v>
      </c>
      <c r="H130" s="177">
        <v>0</v>
      </c>
      <c r="I130" s="177">
        <v>0</v>
      </c>
      <c r="J130" s="177">
        <f t="shared" si="4"/>
        <v>0</v>
      </c>
      <c r="K130" s="178" t="s">
        <v>1023</v>
      </c>
      <c r="L130" s="177">
        <v>0</v>
      </c>
      <c r="M130" s="177"/>
      <c r="N130" s="177">
        <f t="shared" si="5"/>
        <v>0</v>
      </c>
    </row>
    <row r="131" spans="1:14" ht="30">
      <c r="A131" s="177"/>
      <c r="B131" s="177"/>
      <c r="C131" s="177"/>
      <c r="D131" s="177" t="s">
        <v>860</v>
      </c>
      <c r="E131" s="177" t="s">
        <v>861</v>
      </c>
      <c r="F131" s="177"/>
      <c r="G131" s="177">
        <v>0</v>
      </c>
      <c r="H131" s="177">
        <v>0</v>
      </c>
      <c r="I131" s="177">
        <v>0</v>
      </c>
      <c r="J131" s="177">
        <f t="shared" si="4"/>
        <v>0</v>
      </c>
      <c r="K131" s="178" t="s">
        <v>1023</v>
      </c>
      <c r="L131" s="177">
        <v>0</v>
      </c>
      <c r="M131" s="177"/>
      <c r="N131" s="177">
        <f t="shared" si="5"/>
        <v>0</v>
      </c>
    </row>
    <row r="132" spans="1:14">
      <c r="A132" s="6">
        <v>66</v>
      </c>
      <c r="B132" s="6" t="s">
        <v>1025</v>
      </c>
      <c r="C132" s="6">
        <v>8387929178</v>
      </c>
      <c r="D132" s="6" t="s">
        <v>1024</v>
      </c>
      <c r="E132" s="6">
        <v>7</v>
      </c>
      <c r="F132" s="6">
        <v>0</v>
      </c>
      <c r="G132" s="6">
        <v>0</v>
      </c>
      <c r="H132" s="6">
        <v>17100</v>
      </c>
      <c r="I132" s="6">
        <v>10000</v>
      </c>
      <c r="J132" s="6">
        <f t="shared" si="4"/>
        <v>7100</v>
      </c>
      <c r="K132" s="6"/>
      <c r="L132" s="6">
        <v>6000</v>
      </c>
      <c r="M132" s="6">
        <v>5000</v>
      </c>
      <c r="N132" s="6">
        <f t="shared" si="5"/>
        <v>1000</v>
      </c>
    </row>
    <row r="133" spans="1:14">
      <c r="A133" s="6"/>
      <c r="B133" s="6"/>
      <c r="C133" s="6"/>
      <c r="D133" s="6" t="s">
        <v>1026</v>
      </c>
      <c r="E133" s="6">
        <v>3</v>
      </c>
      <c r="F133" s="6"/>
      <c r="G133" s="6"/>
      <c r="H133" s="6">
        <v>14500</v>
      </c>
      <c r="I133" s="6"/>
      <c r="J133" s="6">
        <f t="shared" si="4"/>
        <v>14500</v>
      </c>
      <c r="K133" s="6"/>
      <c r="L133" s="6">
        <v>6000</v>
      </c>
      <c r="M133" s="6">
        <v>5000</v>
      </c>
      <c r="N133" s="6">
        <f t="shared" si="5"/>
        <v>1000</v>
      </c>
    </row>
    <row r="134" spans="1:14" ht="45">
      <c r="A134" s="177">
        <v>67</v>
      </c>
      <c r="B134" s="177" t="s">
        <v>1033</v>
      </c>
      <c r="C134" s="177">
        <v>7683083794</v>
      </c>
      <c r="D134" s="177" t="s">
        <v>1027</v>
      </c>
      <c r="E134" s="177">
        <v>7</v>
      </c>
      <c r="F134" s="177">
        <v>0</v>
      </c>
      <c r="G134" s="177">
        <v>0</v>
      </c>
      <c r="H134" s="177">
        <v>50000</v>
      </c>
      <c r="I134" s="177">
        <v>25000</v>
      </c>
      <c r="J134" s="177">
        <f>H134-I134</f>
        <v>25000</v>
      </c>
      <c r="K134" s="177"/>
      <c r="L134" s="177">
        <v>6000</v>
      </c>
      <c r="M134" s="177">
        <v>0</v>
      </c>
      <c r="N134" s="177">
        <f t="shared" si="5"/>
        <v>6000</v>
      </c>
    </row>
    <row r="135" spans="1:14">
      <c r="A135" s="177"/>
      <c r="B135" s="177"/>
      <c r="C135" s="177"/>
      <c r="D135" s="177" t="s">
        <v>1028</v>
      </c>
      <c r="E135" s="177">
        <v>5</v>
      </c>
      <c r="F135" s="177">
        <v>0</v>
      </c>
      <c r="G135" s="177">
        <v>0</v>
      </c>
      <c r="H135" s="177"/>
      <c r="I135" s="177"/>
      <c r="J135" s="177"/>
      <c r="K135" s="177"/>
      <c r="L135" s="177">
        <v>6000</v>
      </c>
      <c r="M135" s="177">
        <v>0</v>
      </c>
      <c r="N135" s="177">
        <f t="shared" si="5"/>
        <v>6000</v>
      </c>
    </row>
    <row r="136" spans="1:14">
      <c r="A136" s="177"/>
      <c r="B136" s="177"/>
      <c r="C136" s="177"/>
      <c r="D136" s="177" t="s">
        <v>1029</v>
      </c>
      <c r="E136" s="177">
        <v>4</v>
      </c>
      <c r="F136" s="177">
        <v>0</v>
      </c>
      <c r="G136" s="177">
        <v>0</v>
      </c>
      <c r="H136" s="177"/>
      <c r="I136" s="177"/>
      <c r="J136" s="177"/>
      <c r="K136" s="177"/>
      <c r="L136" s="177">
        <v>6000</v>
      </c>
      <c r="M136" s="177">
        <v>0</v>
      </c>
      <c r="N136" s="177">
        <f t="shared" si="5"/>
        <v>6000</v>
      </c>
    </row>
    <row r="137" spans="1:14">
      <c r="A137" s="177"/>
      <c r="B137" s="177"/>
      <c r="C137" s="177"/>
      <c r="D137" s="177" t="s">
        <v>1030</v>
      </c>
      <c r="E137" s="177">
        <v>5</v>
      </c>
      <c r="F137" s="177">
        <v>0</v>
      </c>
      <c r="G137" s="177">
        <v>0</v>
      </c>
      <c r="H137" s="177"/>
      <c r="I137" s="177"/>
      <c r="J137" s="177"/>
      <c r="K137" s="177"/>
      <c r="L137" s="177">
        <v>6000</v>
      </c>
      <c r="M137" s="177">
        <v>0</v>
      </c>
      <c r="N137" s="177">
        <f t="shared" si="5"/>
        <v>6000</v>
      </c>
    </row>
    <row r="138" spans="1:14">
      <c r="A138" s="177"/>
      <c r="B138" s="177"/>
      <c r="C138" s="177"/>
      <c r="D138" s="177" t="s">
        <v>1031</v>
      </c>
      <c r="E138" s="177" t="s">
        <v>98</v>
      </c>
      <c r="F138" s="177">
        <v>0</v>
      </c>
      <c r="G138" s="177">
        <v>0</v>
      </c>
      <c r="H138" s="177"/>
      <c r="I138" s="177"/>
      <c r="J138" s="177"/>
      <c r="K138" s="177"/>
      <c r="L138" s="177">
        <v>6000</v>
      </c>
      <c r="M138" s="177">
        <v>0</v>
      </c>
      <c r="N138" s="177">
        <f t="shared" si="5"/>
        <v>6000</v>
      </c>
    </row>
    <row r="139" spans="1:14">
      <c r="A139" s="177"/>
      <c r="B139" s="177"/>
      <c r="C139" s="177"/>
      <c r="D139" s="177" t="s">
        <v>1032</v>
      </c>
      <c r="E139" s="177" t="s">
        <v>98</v>
      </c>
      <c r="F139" s="177">
        <v>0</v>
      </c>
      <c r="G139" s="177">
        <v>0</v>
      </c>
      <c r="H139" s="177"/>
      <c r="I139" s="177"/>
      <c r="J139" s="177"/>
      <c r="K139" s="177"/>
      <c r="L139" s="177">
        <v>6000</v>
      </c>
      <c r="M139" s="177">
        <v>0</v>
      </c>
      <c r="N139" s="177">
        <f t="shared" si="5"/>
        <v>6000</v>
      </c>
    </row>
    <row r="140" spans="1:1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</row>
    <row r="141" spans="1:14">
      <c r="A141" s="177">
        <v>68</v>
      </c>
      <c r="B141" s="177" t="s">
        <v>58</v>
      </c>
      <c r="C141" s="177"/>
      <c r="D141" s="177" t="s">
        <v>863</v>
      </c>
      <c r="E141" s="177">
        <v>6</v>
      </c>
      <c r="F141" s="177">
        <v>0</v>
      </c>
      <c r="G141" s="177">
        <v>0</v>
      </c>
      <c r="H141" s="177">
        <v>0</v>
      </c>
      <c r="I141" s="177">
        <v>0</v>
      </c>
      <c r="J141" s="177">
        <f t="shared" si="4"/>
        <v>0</v>
      </c>
      <c r="K141" s="177"/>
      <c r="L141" s="177">
        <v>0</v>
      </c>
      <c r="M141" s="177"/>
      <c r="N141" s="177">
        <f t="shared" si="5"/>
        <v>0</v>
      </c>
    </row>
    <row r="142" spans="1:14">
      <c r="A142" s="177"/>
      <c r="B142" s="177"/>
      <c r="C142" s="177"/>
      <c r="D142" s="177" t="s">
        <v>864</v>
      </c>
      <c r="E142" s="177">
        <v>1</v>
      </c>
      <c r="F142" s="177"/>
      <c r="G142" s="177">
        <v>0</v>
      </c>
      <c r="H142" s="177">
        <v>0</v>
      </c>
      <c r="I142" s="177">
        <v>0</v>
      </c>
      <c r="J142" s="177">
        <f t="shared" si="4"/>
        <v>0</v>
      </c>
      <c r="K142" s="177"/>
      <c r="L142" s="177">
        <v>0</v>
      </c>
      <c r="M142" s="177"/>
      <c r="N142" s="177">
        <f t="shared" si="5"/>
        <v>0</v>
      </c>
    </row>
    <row r="143" spans="1:14" ht="30">
      <c r="A143" s="6">
        <v>69</v>
      </c>
      <c r="B143" s="6" t="s">
        <v>867</v>
      </c>
      <c r="C143" s="6">
        <v>9983656011</v>
      </c>
      <c r="D143" s="6" t="s">
        <v>866</v>
      </c>
      <c r="E143" s="6">
        <v>6</v>
      </c>
      <c r="F143" s="6">
        <v>20000</v>
      </c>
      <c r="G143" s="6">
        <v>5000</v>
      </c>
      <c r="H143" s="6"/>
      <c r="I143" s="6">
        <v>20000</v>
      </c>
      <c r="J143" s="6">
        <f t="shared" si="4"/>
        <v>0</v>
      </c>
      <c r="K143" s="6"/>
      <c r="L143" s="6">
        <v>4000</v>
      </c>
      <c r="M143" s="6">
        <v>5000</v>
      </c>
      <c r="N143" s="6">
        <f t="shared" si="5"/>
        <v>4000</v>
      </c>
    </row>
    <row r="144" spans="1:14">
      <c r="A144" s="6"/>
      <c r="B144" s="6"/>
      <c r="C144" s="6"/>
      <c r="D144" s="6" t="s">
        <v>215</v>
      </c>
      <c r="E144" s="6">
        <v>5</v>
      </c>
      <c r="F144" s="6"/>
      <c r="G144" s="6"/>
      <c r="H144" s="6">
        <v>15600</v>
      </c>
      <c r="I144" s="6">
        <v>14000</v>
      </c>
      <c r="J144" s="6">
        <f t="shared" si="4"/>
        <v>1600</v>
      </c>
      <c r="K144" s="6"/>
      <c r="L144" s="6">
        <v>4000</v>
      </c>
      <c r="M144" s="6"/>
      <c r="N144" s="6">
        <f t="shared" si="5"/>
        <v>4000</v>
      </c>
    </row>
    <row r="145" spans="1:17">
      <c r="A145" s="6"/>
      <c r="B145" s="6"/>
      <c r="C145" s="6"/>
      <c r="D145" s="6" t="s">
        <v>297</v>
      </c>
      <c r="E145" s="6" t="s">
        <v>102</v>
      </c>
      <c r="F145" s="6"/>
      <c r="G145" s="6"/>
      <c r="H145" s="6">
        <v>0</v>
      </c>
      <c r="I145" s="6"/>
      <c r="J145" s="6">
        <f t="shared" si="4"/>
        <v>0</v>
      </c>
      <c r="K145" s="6"/>
      <c r="L145" s="6">
        <v>4000</v>
      </c>
      <c r="M145" s="6"/>
      <c r="N145" s="6">
        <f t="shared" si="5"/>
        <v>4000</v>
      </c>
    </row>
    <row r="146" spans="1:17" ht="30">
      <c r="A146" s="177">
        <v>70</v>
      </c>
      <c r="B146" s="177" t="s">
        <v>870</v>
      </c>
      <c r="C146" s="177">
        <v>6378009311</v>
      </c>
      <c r="D146" s="177" t="s">
        <v>868</v>
      </c>
      <c r="E146" s="177">
        <v>6</v>
      </c>
      <c r="F146" s="177">
        <v>0</v>
      </c>
      <c r="G146" s="177">
        <v>4200</v>
      </c>
      <c r="H146" s="177"/>
      <c r="I146" s="177">
        <v>0</v>
      </c>
      <c r="J146" s="177">
        <f t="shared" si="4"/>
        <v>0</v>
      </c>
      <c r="K146" s="177"/>
      <c r="L146" s="177">
        <v>3000</v>
      </c>
      <c r="M146" s="177">
        <v>4200</v>
      </c>
      <c r="N146" s="177">
        <f t="shared" si="5"/>
        <v>3000</v>
      </c>
    </row>
    <row r="147" spans="1:17" ht="30">
      <c r="A147" s="177"/>
      <c r="B147" s="177"/>
      <c r="C147" s="177"/>
      <c r="D147" s="177" t="s">
        <v>869</v>
      </c>
      <c r="E147" s="177">
        <v>2</v>
      </c>
      <c r="F147" s="177"/>
      <c r="G147" s="177"/>
      <c r="H147" s="177"/>
      <c r="I147" s="177">
        <v>0</v>
      </c>
      <c r="J147" s="177">
        <f t="shared" si="4"/>
        <v>0</v>
      </c>
      <c r="K147" s="177"/>
      <c r="L147" s="177">
        <v>3000</v>
      </c>
      <c r="M147" s="177"/>
      <c r="N147" s="177">
        <f t="shared" si="5"/>
        <v>3000</v>
      </c>
    </row>
    <row r="148" spans="1:17" ht="30">
      <c r="A148" s="6">
        <v>71</v>
      </c>
      <c r="B148" s="6" t="s">
        <v>874</v>
      </c>
      <c r="C148" s="6">
        <v>8432631273</v>
      </c>
      <c r="D148" s="6" t="s">
        <v>871</v>
      </c>
      <c r="E148" s="6">
        <v>6</v>
      </c>
      <c r="F148" s="6">
        <v>10000</v>
      </c>
      <c r="G148" s="6">
        <v>5400</v>
      </c>
      <c r="H148" s="6">
        <v>16100</v>
      </c>
      <c r="I148" s="6">
        <v>0</v>
      </c>
      <c r="J148" s="6">
        <f t="shared" si="4"/>
        <v>26100</v>
      </c>
      <c r="K148" s="6" t="s">
        <v>875</v>
      </c>
      <c r="L148" s="6">
        <v>3000</v>
      </c>
      <c r="M148" s="6">
        <v>5400</v>
      </c>
      <c r="N148" s="6">
        <f t="shared" si="5"/>
        <v>3000</v>
      </c>
    </row>
    <row r="149" spans="1:17" ht="30">
      <c r="A149" s="6"/>
      <c r="B149" s="6"/>
      <c r="C149" s="6"/>
      <c r="D149" s="6" t="s">
        <v>872</v>
      </c>
      <c r="E149" s="6">
        <v>2</v>
      </c>
      <c r="F149" s="6"/>
      <c r="G149" s="6"/>
      <c r="H149" s="6"/>
      <c r="I149" s="6"/>
      <c r="J149" s="6">
        <f t="shared" si="4"/>
        <v>0</v>
      </c>
      <c r="K149" s="6"/>
      <c r="L149" s="6">
        <v>3000</v>
      </c>
      <c r="M149" s="6"/>
      <c r="N149" s="6">
        <f t="shared" si="5"/>
        <v>3000</v>
      </c>
    </row>
    <row r="150" spans="1:17" ht="30">
      <c r="A150" s="6"/>
      <c r="B150" s="6"/>
      <c r="C150" s="6"/>
      <c r="D150" s="6" t="s">
        <v>873</v>
      </c>
      <c r="E150" s="6">
        <v>2</v>
      </c>
      <c r="F150" s="6"/>
      <c r="G150" s="6"/>
      <c r="H150" s="6"/>
      <c r="I150" s="6"/>
      <c r="J150" s="6">
        <f t="shared" si="4"/>
        <v>0</v>
      </c>
      <c r="K150" s="6"/>
      <c r="L150" s="6">
        <v>3000</v>
      </c>
      <c r="M150" s="6"/>
      <c r="N150" s="6">
        <f t="shared" si="5"/>
        <v>3000</v>
      </c>
    </row>
    <row r="151" spans="1:17" ht="30">
      <c r="A151" s="177">
        <v>72</v>
      </c>
      <c r="B151" s="177" t="s">
        <v>876</v>
      </c>
      <c r="C151" s="177">
        <v>9530183827</v>
      </c>
      <c r="D151" s="177" t="s">
        <v>222</v>
      </c>
      <c r="E151" s="177">
        <v>6</v>
      </c>
      <c r="F151" s="177">
        <v>6000</v>
      </c>
      <c r="G151" s="177">
        <v>0</v>
      </c>
      <c r="H151" s="177">
        <v>0</v>
      </c>
      <c r="I151" s="177">
        <v>3000</v>
      </c>
      <c r="J151" s="177">
        <f t="shared" si="4"/>
        <v>3000</v>
      </c>
      <c r="K151" s="178" t="s">
        <v>612</v>
      </c>
      <c r="L151" s="177">
        <v>0</v>
      </c>
      <c r="M151" s="177"/>
      <c r="N151" s="177">
        <f t="shared" si="5"/>
        <v>0</v>
      </c>
    </row>
    <row r="152" spans="1:17">
      <c r="A152" s="177"/>
      <c r="B152" s="177"/>
      <c r="C152" s="177"/>
      <c r="D152" s="177" t="s">
        <v>877</v>
      </c>
      <c r="E152" s="177" t="s">
        <v>130</v>
      </c>
      <c r="F152" s="177"/>
      <c r="G152" s="177"/>
      <c r="H152" s="177">
        <v>0</v>
      </c>
      <c r="I152" s="177"/>
      <c r="J152" s="177">
        <f t="shared" si="4"/>
        <v>0</v>
      </c>
      <c r="K152" s="178" t="s">
        <v>612</v>
      </c>
      <c r="L152" s="177"/>
      <c r="M152" s="177"/>
      <c r="N152" s="177">
        <f t="shared" si="5"/>
        <v>0</v>
      </c>
    </row>
    <row r="153" spans="1:17" ht="30">
      <c r="A153" s="6">
        <v>73</v>
      </c>
      <c r="B153" s="6" t="s">
        <v>880</v>
      </c>
      <c r="C153" s="6">
        <v>9982003800</v>
      </c>
      <c r="D153" s="6" t="s">
        <v>1000</v>
      </c>
      <c r="E153" s="6">
        <v>6</v>
      </c>
      <c r="F153" s="6">
        <v>18000</v>
      </c>
      <c r="G153" s="6">
        <v>6000</v>
      </c>
      <c r="H153" s="6">
        <v>10000</v>
      </c>
      <c r="I153" s="6">
        <v>48000</v>
      </c>
      <c r="J153" s="6">
        <f t="shared" si="4"/>
        <v>-20000</v>
      </c>
      <c r="K153" s="6"/>
      <c r="L153" s="6">
        <v>5000</v>
      </c>
      <c r="M153" s="6">
        <v>11000</v>
      </c>
      <c r="N153" s="6">
        <f t="shared" si="5"/>
        <v>0</v>
      </c>
      <c r="O153" s="42" t="s">
        <v>1136</v>
      </c>
    </row>
    <row r="154" spans="1:17">
      <c r="A154" s="6"/>
      <c r="B154" s="6"/>
      <c r="C154" s="6"/>
      <c r="D154" s="6" t="s">
        <v>878</v>
      </c>
      <c r="E154" s="6">
        <v>6</v>
      </c>
      <c r="F154" s="6"/>
      <c r="G154" s="6"/>
      <c r="H154" s="6">
        <v>10000</v>
      </c>
      <c r="I154" s="6"/>
      <c r="J154" s="6">
        <f t="shared" si="4"/>
        <v>10000</v>
      </c>
      <c r="K154" s="6"/>
      <c r="L154" s="6">
        <v>5000</v>
      </c>
      <c r="M154" s="6">
        <v>5000</v>
      </c>
      <c r="N154" s="6">
        <f t="shared" si="5"/>
        <v>0</v>
      </c>
    </row>
    <row r="155" spans="1:17">
      <c r="A155" s="6"/>
      <c r="B155" s="6"/>
      <c r="C155" s="6"/>
      <c r="D155" s="6" t="s">
        <v>879</v>
      </c>
      <c r="E155" s="6">
        <v>1</v>
      </c>
      <c r="F155" s="6"/>
      <c r="G155" s="6"/>
      <c r="H155" s="6">
        <v>10000</v>
      </c>
      <c r="I155" s="6"/>
      <c r="J155" s="6">
        <f t="shared" si="4"/>
        <v>10000</v>
      </c>
      <c r="K155" s="6"/>
      <c r="L155" s="6">
        <v>5000</v>
      </c>
      <c r="M155" s="6">
        <v>5000</v>
      </c>
      <c r="N155" s="6">
        <f t="shared" si="5"/>
        <v>0</v>
      </c>
    </row>
    <row r="156" spans="1:17" ht="30">
      <c r="A156" s="6"/>
      <c r="B156" s="6"/>
      <c r="C156" s="6"/>
      <c r="D156" s="6" t="s">
        <v>1081</v>
      </c>
      <c r="E156" s="6" t="s">
        <v>98</v>
      </c>
      <c r="F156" s="6"/>
      <c r="G156" s="6"/>
      <c r="H156" s="6">
        <v>0</v>
      </c>
      <c r="I156" s="6">
        <v>0</v>
      </c>
      <c r="J156" s="6">
        <f t="shared" si="4"/>
        <v>0</v>
      </c>
      <c r="K156" s="6"/>
      <c r="L156" s="6">
        <v>0</v>
      </c>
      <c r="M156" s="6">
        <v>0</v>
      </c>
      <c r="N156" s="6">
        <f t="shared" si="5"/>
        <v>0</v>
      </c>
    </row>
    <row r="157" spans="1:17">
      <c r="A157" s="177">
        <v>74</v>
      </c>
      <c r="B157" s="177" t="s">
        <v>656</v>
      </c>
      <c r="C157" s="177">
        <v>6378256033</v>
      </c>
      <c r="D157" s="177" t="s">
        <v>881</v>
      </c>
      <c r="E157" s="177">
        <v>6</v>
      </c>
      <c r="F157" s="177">
        <v>15000</v>
      </c>
      <c r="G157" s="177">
        <v>0</v>
      </c>
      <c r="H157" s="177">
        <v>16100</v>
      </c>
      <c r="I157" s="177">
        <v>22000</v>
      </c>
      <c r="J157" s="177">
        <f t="shared" si="4"/>
        <v>9100</v>
      </c>
      <c r="K157" s="177"/>
      <c r="L157" s="177">
        <v>5000</v>
      </c>
      <c r="M157" s="177">
        <v>4000</v>
      </c>
      <c r="N157" s="177">
        <f t="shared" si="5"/>
        <v>1000</v>
      </c>
    </row>
    <row r="158" spans="1:17">
      <c r="A158" s="177"/>
      <c r="B158" s="177"/>
      <c r="C158" s="177"/>
      <c r="D158" s="177" t="s">
        <v>882</v>
      </c>
      <c r="E158" s="177">
        <v>4</v>
      </c>
      <c r="F158" s="177"/>
      <c r="G158" s="177"/>
      <c r="H158" s="177">
        <v>15200</v>
      </c>
      <c r="I158" s="177"/>
      <c r="J158" s="177">
        <f t="shared" si="4"/>
        <v>15200</v>
      </c>
      <c r="K158" s="177"/>
      <c r="L158" s="177">
        <v>5000</v>
      </c>
      <c r="M158" s="177">
        <v>4000</v>
      </c>
      <c r="N158" s="177">
        <f t="shared" si="5"/>
        <v>1000</v>
      </c>
    </row>
    <row r="159" spans="1:17" ht="30">
      <c r="A159" s="6">
        <v>75</v>
      </c>
      <c r="B159" s="6" t="s">
        <v>883</v>
      </c>
      <c r="C159" s="6">
        <v>8875169146</v>
      </c>
      <c r="D159" s="6" t="s">
        <v>274</v>
      </c>
      <c r="E159" s="6">
        <v>6</v>
      </c>
      <c r="F159" s="6">
        <v>5500</v>
      </c>
      <c r="G159" s="6">
        <v>0</v>
      </c>
      <c r="H159" s="6">
        <v>8000</v>
      </c>
      <c r="I159" s="6">
        <v>13500</v>
      </c>
      <c r="J159" s="6">
        <f t="shared" si="4"/>
        <v>0</v>
      </c>
      <c r="K159" s="6" t="s">
        <v>884</v>
      </c>
      <c r="L159" s="6">
        <v>0</v>
      </c>
      <c r="M159" s="6">
        <v>0</v>
      </c>
      <c r="N159" s="6">
        <f t="shared" si="5"/>
        <v>0</v>
      </c>
      <c r="O159" s="42" t="s">
        <v>1136</v>
      </c>
    </row>
    <row r="160" spans="1:17" ht="30">
      <c r="A160" s="177">
        <v>76</v>
      </c>
      <c r="B160" s="177" t="s">
        <v>885</v>
      </c>
      <c r="C160" s="177">
        <v>9694730141</v>
      </c>
      <c r="D160" s="177" t="s">
        <v>223</v>
      </c>
      <c r="E160" s="177">
        <v>6</v>
      </c>
      <c r="F160" s="177">
        <v>9500</v>
      </c>
      <c r="G160" s="177">
        <v>2500</v>
      </c>
      <c r="H160" s="177">
        <v>16100</v>
      </c>
      <c r="I160" s="177">
        <v>14500</v>
      </c>
      <c r="J160" s="177">
        <f t="shared" si="4"/>
        <v>11100</v>
      </c>
      <c r="K160" s="177"/>
      <c r="L160" s="177">
        <v>5000</v>
      </c>
      <c r="M160" s="177">
        <v>2500</v>
      </c>
      <c r="N160" s="177">
        <f t="shared" si="5"/>
        <v>5000</v>
      </c>
      <c r="Q160" s="198"/>
    </row>
    <row r="161" spans="1:14" ht="30">
      <c r="A161" s="6">
        <v>77</v>
      </c>
      <c r="B161" s="6" t="s">
        <v>886</v>
      </c>
      <c r="C161" s="6">
        <v>9799878597</v>
      </c>
      <c r="D161" s="6" t="s">
        <v>244</v>
      </c>
      <c r="E161" s="6">
        <v>4</v>
      </c>
      <c r="F161" s="6">
        <v>25000</v>
      </c>
      <c r="G161" s="6">
        <v>0</v>
      </c>
      <c r="H161" s="6"/>
      <c r="I161" s="6">
        <v>0</v>
      </c>
      <c r="J161" s="6">
        <f t="shared" si="4"/>
        <v>25000</v>
      </c>
      <c r="K161" s="180" t="s">
        <v>612</v>
      </c>
      <c r="L161" s="6">
        <v>0</v>
      </c>
      <c r="M161" s="6"/>
      <c r="N161" s="6">
        <f t="shared" si="5"/>
        <v>0</v>
      </c>
    </row>
    <row r="162" spans="1:14" ht="30">
      <c r="A162" s="6"/>
      <c r="B162" s="6"/>
      <c r="C162" s="6"/>
      <c r="D162" s="6" t="s">
        <v>172</v>
      </c>
      <c r="E162" s="6">
        <v>1</v>
      </c>
      <c r="F162" s="6"/>
      <c r="G162" s="6"/>
      <c r="H162" s="6"/>
      <c r="I162" s="6"/>
      <c r="J162" s="6">
        <f t="shared" si="4"/>
        <v>0</v>
      </c>
      <c r="K162" s="180" t="s">
        <v>612</v>
      </c>
      <c r="L162" s="6"/>
      <c r="M162" s="6"/>
      <c r="N162" s="6">
        <f t="shared" si="5"/>
        <v>0</v>
      </c>
    </row>
    <row r="163" spans="1:14">
      <c r="A163" s="177">
        <v>78</v>
      </c>
      <c r="B163" s="177" t="s">
        <v>1036</v>
      </c>
      <c r="C163" s="177">
        <v>9928647599</v>
      </c>
      <c r="D163" s="177" t="s">
        <v>1034</v>
      </c>
      <c r="E163" s="177">
        <v>5</v>
      </c>
      <c r="F163" s="177">
        <v>0</v>
      </c>
      <c r="G163" s="177">
        <v>0</v>
      </c>
      <c r="H163" s="177">
        <v>15600</v>
      </c>
      <c r="I163" s="177">
        <v>15000</v>
      </c>
      <c r="J163" s="177">
        <f t="shared" si="4"/>
        <v>600</v>
      </c>
      <c r="K163" s="178"/>
      <c r="L163" s="177">
        <v>6000</v>
      </c>
      <c r="M163" s="177">
        <v>0</v>
      </c>
      <c r="N163" s="177">
        <f t="shared" si="5"/>
        <v>6000</v>
      </c>
    </row>
    <row r="164" spans="1:14">
      <c r="A164" s="177"/>
      <c r="B164" s="177"/>
      <c r="C164" s="177"/>
      <c r="D164" s="177" t="s">
        <v>1035</v>
      </c>
      <c r="E164" s="177">
        <v>3</v>
      </c>
      <c r="F164" s="177"/>
      <c r="G164" s="177"/>
      <c r="H164" s="177">
        <v>14500</v>
      </c>
      <c r="I164" s="177"/>
      <c r="J164" s="177">
        <f t="shared" si="4"/>
        <v>14500</v>
      </c>
      <c r="K164" s="178"/>
      <c r="L164" s="177">
        <v>6000</v>
      </c>
      <c r="M164" s="177">
        <v>0</v>
      </c>
      <c r="N164" s="177">
        <f t="shared" si="5"/>
        <v>6000</v>
      </c>
    </row>
    <row r="165" spans="1:14" ht="30">
      <c r="A165" s="179">
        <v>79</v>
      </c>
      <c r="B165" s="179" t="s">
        <v>887</v>
      </c>
      <c r="C165" s="179">
        <v>8290308479</v>
      </c>
      <c r="D165" s="179" t="s">
        <v>226</v>
      </c>
      <c r="E165" s="179">
        <v>5</v>
      </c>
      <c r="F165" s="179">
        <v>18000</v>
      </c>
      <c r="G165" s="179">
        <v>0</v>
      </c>
      <c r="H165" s="179">
        <v>15600</v>
      </c>
      <c r="I165" s="179">
        <v>5000</v>
      </c>
      <c r="J165" s="179">
        <f t="shared" si="4"/>
        <v>28600</v>
      </c>
      <c r="K165" s="179"/>
      <c r="L165" s="179">
        <v>3000</v>
      </c>
      <c r="M165" s="179"/>
      <c r="N165" s="179">
        <f t="shared" si="5"/>
        <v>3000</v>
      </c>
    </row>
    <row r="166" spans="1:14" ht="30">
      <c r="A166" s="179"/>
      <c r="B166" s="179"/>
      <c r="C166" s="179"/>
      <c r="D166" s="179" t="s">
        <v>888</v>
      </c>
      <c r="E166" s="179">
        <v>2</v>
      </c>
      <c r="F166" s="179"/>
      <c r="G166" s="179"/>
      <c r="H166" s="179"/>
      <c r="I166" s="179"/>
      <c r="J166" s="179">
        <f t="shared" si="4"/>
        <v>0</v>
      </c>
      <c r="K166" s="179"/>
      <c r="L166" s="179">
        <v>3000</v>
      </c>
      <c r="M166" s="179"/>
      <c r="N166" s="179">
        <f t="shared" si="5"/>
        <v>3000</v>
      </c>
    </row>
    <row r="167" spans="1:14">
      <c r="A167" s="177">
        <v>80</v>
      </c>
      <c r="B167" s="177" t="s">
        <v>889</v>
      </c>
      <c r="C167" s="177" t="s">
        <v>1089</v>
      </c>
      <c r="D167" s="177" t="s">
        <v>245</v>
      </c>
      <c r="E167" s="177">
        <v>4</v>
      </c>
      <c r="F167" s="177">
        <v>6000</v>
      </c>
      <c r="G167" s="177">
        <v>0</v>
      </c>
      <c r="H167" s="177"/>
      <c r="I167" s="177">
        <v>0</v>
      </c>
      <c r="J167" s="177">
        <f t="shared" si="4"/>
        <v>6000</v>
      </c>
      <c r="K167" s="178" t="s">
        <v>612</v>
      </c>
      <c r="L167" s="177">
        <v>0</v>
      </c>
      <c r="M167" s="177"/>
      <c r="N167" s="177">
        <f t="shared" si="5"/>
        <v>0</v>
      </c>
    </row>
    <row r="168" spans="1:14" ht="30">
      <c r="A168" s="6">
        <v>81</v>
      </c>
      <c r="B168" s="185" t="s">
        <v>891</v>
      </c>
      <c r="C168" s="6">
        <v>7062116532</v>
      </c>
      <c r="D168" s="6" t="s">
        <v>232</v>
      </c>
      <c r="E168" s="6">
        <v>5</v>
      </c>
      <c r="F168" s="6">
        <v>14500</v>
      </c>
      <c r="G168" s="6">
        <v>0</v>
      </c>
      <c r="H168" s="6">
        <v>15600</v>
      </c>
      <c r="I168" s="6">
        <v>19500</v>
      </c>
      <c r="J168" s="6">
        <f t="shared" si="4"/>
        <v>10600</v>
      </c>
      <c r="K168" s="6"/>
      <c r="L168" s="6">
        <v>3000</v>
      </c>
      <c r="M168" s="6"/>
      <c r="N168" s="6">
        <f t="shared" si="5"/>
        <v>3000</v>
      </c>
    </row>
    <row r="169" spans="1:14" ht="30">
      <c r="A169" s="6"/>
      <c r="B169" s="6"/>
      <c r="C169" s="6"/>
      <c r="D169" s="6" t="s">
        <v>892</v>
      </c>
      <c r="E169" s="6">
        <v>2</v>
      </c>
      <c r="F169" s="6"/>
      <c r="G169" s="6"/>
      <c r="H169" s="6"/>
      <c r="I169" s="6"/>
      <c r="J169" s="6">
        <f t="shared" si="4"/>
        <v>0</v>
      </c>
      <c r="K169" s="6"/>
      <c r="L169" s="6">
        <v>3000</v>
      </c>
      <c r="M169" s="6"/>
      <c r="N169" s="6">
        <f t="shared" si="5"/>
        <v>3000</v>
      </c>
    </row>
    <row r="170" spans="1:14" ht="30">
      <c r="A170" s="177">
        <v>82</v>
      </c>
      <c r="B170" s="177" t="s">
        <v>894</v>
      </c>
      <c r="C170" s="177">
        <v>9521417004</v>
      </c>
      <c r="D170" s="177" t="s">
        <v>893</v>
      </c>
      <c r="E170" s="177">
        <v>5</v>
      </c>
      <c r="F170" s="177">
        <v>0</v>
      </c>
      <c r="G170" s="177">
        <v>0</v>
      </c>
      <c r="H170" s="177">
        <v>15600</v>
      </c>
      <c r="I170" s="177">
        <v>0</v>
      </c>
      <c r="J170" s="177">
        <f t="shared" si="4"/>
        <v>15600</v>
      </c>
      <c r="K170" s="177"/>
      <c r="L170" s="177">
        <v>5000</v>
      </c>
      <c r="M170" s="177"/>
      <c r="N170" s="177">
        <f t="shared" si="5"/>
        <v>5000</v>
      </c>
    </row>
    <row r="171" spans="1:14" ht="30">
      <c r="A171" s="6">
        <v>83</v>
      </c>
      <c r="B171" s="6" t="s">
        <v>896</v>
      </c>
      <c r="C171" s="6"/>
      <c r="D171" s="6" t="s">
        <v>241</v>
      </c>
      <c r="E171" s="6">
        <v>4</v>
      </c>
      <c r="F171" s="6">
        <v>9000</v>
      </c>
      <c r="G171" s="6">
        <v>3000</v>
      </c>
      <c r="H171" s="6"/>
      <c r="I171" s="6">
        <v>9000</v>
      </c>
      <c r="J171" s="6">
        <f t="shared" si="4"/>
        <v>0</v>
      </c>
      <c r="K171" s="180" t="s">
        <v>1001</v>
      </c>
      <c r="L171" s="6">
        <v>0</v>
      </c>
      <c r="M171" s="6">
        <v>3000</v>
      </c>
      <c r="N171" s="6">
        <f t="shared" si="5"/>
        <v>0</v>
      </c>
    </row>
    <row r="172" spans="1:14">
      <c r="A172" s="6"/>
      <c r="B172" s="6"/>
      <c r="C172" s="6"/>
      <c r="D172" s="6" t="s">
        <v>895</v>
      </c>
      <c r="E172" s="6" t="s">
        <v>861</v>
      </c>
      <c r="F172" s="6"/>
      <c r="G172" s="6"/>
      <c r="H172" s="6"/>
      <c r="I172" s="6"/>
      <c r="J172" s="6">
        <f t="shared" si="4"/>
        <v>0</v>
      </c>
      <c r="K172" s="180" t="s">
        <v>612</v>
      </c>
      <c r="L172" s="6"/>
      <c r="M172" s="6"/>
      <c r="N172" s="6">
        <f t="shared" si="5"/>
        <v>0</v>
      </c>
    </row>
    <row r="173" spans="1:14" ht="30">
      <c r="A173" s="177">
        <v>84</v>
      </c>
      <c r="B173" s="177" t="s">
        <v>897</v>
      </c>
      <c r="C173" s="177">
        <v>9982006644</v>
      </c>
      <c r="D173" s="177" t="s">
        <v>246</v>
      </c>
      <c r="E173" s="177">
        <v>4</v>
      </c>
      <c r="F173" s="177">
        <v>40000</v>
      </c>
      <c r="G173" s="177">
        <v>6000</v>
      </c>
      <c r="H173" s="177">
        <v>0</v>
      </c>
      <c r="I173" s="177">
        <v>0</v>
      </c>
      <c r="J173" s="177">
        <f t="shared" si="4"/>
        <v>40000</v>
      </c>
      <c r="K173" s="178" t="s">
        <v>1001</v>
      </c>
      <c r="L173" s="177">
        <v>0</v>
      </c>
      <c r="M173" s="177"/>
      <c r="N173" s="177">
        <f t="shared" si="5"/>
        <v>6000</v>
      </c>
    </row>
    <row r="174" spans="1:14">
      <c r="A174" s="177"/>
      <c r="B174" s="177"/>
      <c r="C174" s="177"/>
      <c r="D174" s="177" t="s">
        <v>186</v>
      </c>
      <c r="E174" s="177">
        <v>2</v>
      </c>
      <c r="F174" s="177"/>
      <c r="G174" s="177"/>
      <c r="H174" s="177">
        <v>0</v>
      </c>
      <c r="I174" s="177">
        <v>0</v>
      </c>
      <c r="J174" s="177">
        <f t="shared" si="4"/>
        <v>0</v>
      </c>
      <c r="K174" s="178" t="s">
        <v>612</v>
      </c>
      <c r="L174" s="177"/>
      <c r="M174" s="177"/>
      <c r="N174" s="177">
        <f t="shared" si="5"/>
        <v>0</v>
      </c>
    </row>
    <row r="175" spans="1:1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180"/>
      <c r="L175" s="6"/>
      <c r="M175" s="6"/>
      <c r="N175" s="6"/>
    </row>
    <row r="176" spans="1:14" ht="30">
      <c r="A176" s="177">
        <v>85</v>
      </c>
      <c r="B176" s="177" t="s">
        <v>902</v>
      </c>
      <c r="C176" s="177">
        <v>9352133972</v>
      </c>
      <c r="D176" s="177" t="s">
        <v>239</v>
      </c>
      <c r="E176" s="177">
        <v>4</v>
      </c>
      <c r="F176" s="177">
        <v>4000</v>
      </c>
      <c r="G176" s="177">
        <v>0</v>
      </c>
      <c r="H176" s="177">
        <v>0</v>
      </c>
      <c r="I176" s="177"/>
      <c r="J176" s="177">
        <f t="shared" si="4"/>
        <v>4000</v>
      </c>
      <c r="K176" s="178" t="s">
        <v>612</v>
      </c>
      <c r="L176" s="177">
        <v>0</v>
      </c>
      <c r="M176" s="177"/>
      <c r="N176" s="177">
        <f t="shared" si="5"/>
        <v>0</v>
      </c>
    </row>
    <row r="177" spans="1:15" ht="30">
      <c r="A177" s="6">
        <v>86</v>
      </c>
      <c r="B177" s="6" t="s">
        <v>905</v>
      </c>
      <c r="C177" s="6">
        <v>9649252627</v>
      </c>
      <c r="D177" s="6" t="s">
        <v>904</v>
      </c>
      <c r="E177" s="6">
        <v>5</v>
      </c>
      <c r="F177" s="6">
        <v>20000</v>
      </c>
      <c r="G177" s="6">
        <v>2000</v>
      </c>
      <c r="H177" s="6">
        <v>15600</v>
      </c>
      <c r="I177" s="6">
        <v>27000</v>
      </c>
      <c r="J177" s="6">
        <f t="shared" si="4"/>
        <v>8600</v>
      </c>
      <c r="K177" s="6"/>
      <c r="L177" s="6">
        <v>5000</v>
      </c>
      <c r="M177" s="6">
        <v>2000</v>
      </c>
      <c r="N177" s="6">
        <f t="shared" si="5"/>
        <v>5000</v>
      </c>
    </row>
    <row r="178" spans="1:15" ht="30">
      <c r="A178" s="6"/>
      <c r="B178" s="6"/>
      <c r="C178" s="6"/>
      <c r="D178" s="6" t="s">
        <v>903</v>
      </c>
      <c r="E178" s="6">
        <v>2</v>
      </c>
      <c r="F178" s="6"/>
      <c r="G178" s="6"/>
      <c r="H178" s="6">
        <v>13200</v>
      </c>
      <c r="I178" s="6"/>
      <c r="J178" s="6">
        <f t="shared" si="4"/>
        <v>13200</v>
      </c>
      <c r="K178" s="6"/>
      <c r="L178" s="6">
        <v>5000</v>
      </c>
      <c r="M178" s="6"/>
      <c r="N178" s="6">
        <f t="shared" si="5"/>
        <v>5000</v>
      </c>
    </row>
    <row r="179" spans="1:15">
      <c r="A179" s="177">
        <v>87</v>
      </c>
      <c r="B179" s="177" t="s">
        <v>907</v>
      </c>
      <c r="C179" s="177" t="s">
        <v>1089</v>
      </c>
      <c r="D179" s="177" t="s">
        <v>906</v>
      </c>
      <c r="E179" s="177">
        <v>4</v>
      </c>
      <c r="F179" s="177">
        <v>2500</v>
      </c>
      <c r="G179" s="177">
        <v>0</v>
      </c>
      <c r="H179" s="177">
        <v>0</v>
      </c>
      <c r="I179" s="177">
        <v>2500</v>
      </c>
      <c r="J179" s="177">
        <f t="shared" si="4"/>
        <v>0</v>
      </c>
      <c r="K179" s="178" t="s">
        <v>612</v>
      </c>
      <c r="L179" s="177">
        <v>0</v>
      </c>
      <c r="M179" s="177"/>
      <c r="N179" s="177">
        <f t="shared" si="5"/>
        <v>0</v>
      </c>
    </row>
    <row r="180" spans="1:15" ht="45">
      <c r="A180" s="6">
        <v>88</v>
      </c>
      <c r="B180" s="6" t="s">
        <v>909</v>
      </c>
      <c r="C180" s="6">
        <v>9799059732</v>
      </c>
      <c r="D180" s="186" t="s">
        <v>172</v>
      </c>
      <c r="E180" s="6">
        <v>4</v>
      </c>
      <c r="F180" s="6">
        <v>7500</v>
      </c>
      <c r="G180" s="6">
        <v>4500</v>
      </c>
      <c r="H180" s="6">
        <v>15200</v>
      </c>
      <c r="I180" s="6">
        <v>21500</v>
      </c>
      <c r="J180" s="6">
        <f t="shared" si="4"/>
        <v>1200</v>
      </c>
      <c r="K180" s="6"/>
      <c r="L180" s="6">
        <v>5000</v>
      </c>
      <c r="M180" s="6">
        <v>4500</v>
      </c>
      <c r="N180" s="6">
        <f t="shared" si="5"/>
        <v>5000</v>
      </c>
    </row>
    <row r="181" spans="1:15" ht="30">
      <c r="A181" s="6"/>
      <c r="B181" s="6"/>
      <c r="C181" s="6"/>
      <c r="D181" s="6" t="s">
        <v>910</v>
      </c>
      <c r="E181" s="6">
        <v>1</v>
      </c>
      <c r="F181" s="6"/>
      <c r="G181" s="6"/>
      <c r="H181" s="6">
        <v>0</v>
      </c>
      <c r="I181" s="6"/>
      <c r="J181" s="6">
        <f t="shared" si="4"/>
        <v>0</v>
      </c>
      <c r="K181" s="6"/>
      <c r="L181" s="6">
        <v>5000</v>
      </c>
      <c r="M181" s="6"/>
      <c r="N181" s="6">
        <f t="shared" si="5"/>
        <v>5000</v>
      </c>
    </row>
    <row r="182" spans="1:15" ht="30">
      <c r="A182" s="6"/>
      <c r="B182" s="6"/>
      <c r="C182" s="6"/>
      <c r="D182" s="6" t="s">
        <v>908</v>
      </c>
      <c r="E182" s="6" t="s">
        <v>102</v>
      </c>
      <c r="F182" s="6"/>
      <c r="G182" s="6"/>
      <c r="H182" s="6">
        <v>10700</v>
      </c>
      <c r="I182" s="6"/>
      <c r="J182" s="6">
        <f t="shared" si="4"/>
        <v>10700</v>
      </c>
      <c r="K182" s="6"/>
      <c r="L182" s="6">
        <v>5000</v>
      </c>
      <c r="M182" s="6"/>
      <c r="N182" s="6">
        <f t="shared" si="5"/>
        <v>5000</v>
      </c>
    </row>
    <row r="183" spans="1:15" ht="30">
      <c r="A183" s="177">
        <v>89</v>
      </c>
      <c r="B183" s="187" t="s">
        <v>913</v>
      </c>
      <c r="C183" s="187">
        <v>9828102037</v>
      </c>
      <c r="D183" s="187" t="s">
        <v>173</v>
      </c>
      <c r="E183" s="187">
        <v>4</v>
      </c>
      <c r="F183" s="187">
        <v>15000</v>
      </c>
      <c r="G183" s="187">
        <v>0</v>
      </c>
      <c r="H183" s="187">
        <v>12000</v>
      </c>
      <c r="I183" s="187">
        <v>27000</v>
      </c>
      <c r="J183" s="187">
        <f t="shared" si="4"/>
        <v>0</v>
      </c>
      <c r="K183" s="187"/>
      <c r="L183" s="187">
        <v>5000</v>
      </c>
      <c r="M183" s="187">
        <v>5000</v>
      </c>
      <c r="N183" s="187">
        <f t="shared" si="5"/>
        <v>0</v>
      </c>
      <c r="O183" s="42" t="s">
        <v>1139</v>
      </c>
    </row>
    <row r="184" spans="1:15" ht="30">
      <c r="A184" s="177"/>
      <c r="B184" s="187"/>
      <c r="C184" s="187"/>
      <c r="D184" s="187" t="s">
        <v>915</v>
      </c>
      <c r="E184" s="187">
        <v>2</v>
      </c>
      <c r="F184" s="187"/>
      <c r="G184" s="187"/>
      <c r="H184" s="187">
        <v>0</v>
      </c>
      <c r="I184" s="187"/>
      <c r="J184" s="187">
        <f t="shared" si="4"/>
        <v>0</v>
      </c>
      <c r="K184" s="187"/>
      <c r="L184" s="187">
        <v>5000</v>
      </c>
      <c r="M184" s="187">
        <v>5000</v>
      </c>
      <c r="N184" s="187">
        <f t="shared" si="5"/>
        <v>0</v>
      </c>
    </row>
    <row r="185" spans="1:15">
      <c r="A185" s="177"/>
      <c r="B185" s="187"/>
      <c r="C185" s="187"/>
      <c r="D185" s="187" t="s">
        <v>911</v>
      </c>
      <c r="E185" s="187" t="s">
        <v>130</v>
      </c>
      <c r="F185" s="187"/>
      <c r="G185" s="187"/>
      <c r="H185" s="187">
        <v>0</v>
      </c>
      <c r="I185" s="187"/>
      <c r="J185" s="187">
        <f t="shared" si="4"/>
        <v>0</v>
      </c>
      <c r="K185" s="187"/>
      <c r="L185" s="187">
        <v>0</v>
      </c>
      <c r="M185" s="187"/>
      <c r="N185" s="187">
        <f t="shared" si="5"/>
        <v>0</v>
      </c>
    </row>
    <row r="186" spans="1:15">
      <c r="A186" s="177"/>
      <c r="B186" s="187"/>
      <c r="C186" s="187"/>
      <c r="D186" s="187" t="s">
        <v>912</v>
      </c>
      <c r="E186" s="187" t="s">
        <v>102</v>
      </c>
      <c r="F186" s="187"/>
      <c r="G186" s="187"/>
      <c r="H186" s="187">
        <v>10000</v>
      </c>
      <c r="I186" s="187">
        <v>10000</v>
      </c>
      <c r="J186" s="187">
        <f t="shared" si="4"/>
        <v>0</v>
      </c>
      <c r="K186" s="187"/>
      <c r="L186" s="187">
        <v>5000</v>
      </c>
      <c r="M186" s="187">
        <v>5000</v>
      </c>
      <c r="N186" s="187">
        <f t="shared" si="5"/>
        <v>0</v>
      </c>
    </row>
    <row r="187" spans="1:15" ht="30">
      <c r="A187" s="6">
        <v>90</v>
      </c>
      <c r="B187" s="6" t="s">
        <v>918</v>
      </c>
      <c r="C187" s="6"/>
      <c r="D187" s="6" t="s">
        <v>916</v>
      </c>
      <c r="E187" s="6">
        <v>4</v>
      </c>
      <c r="F187" s="6">
        <v>0</v>
      </c>
      <c r="G187" s="6">
        <v>0</v>
      </c>
      <c r="H187" s="6">
        <v>0</v>
      </c>
      <c r="I187" s="6"/>
      <c r="J187" s="6">
        <f t="shared" si="4"/>
        <v>0</v>
      </c>
      <c r="K187" s="6"/>
      <c r="L187" s="6">
        <v>0</v>
      </c>
      <c r="M187" s="6"/>
      <c r="N187" s="6">
        <f t="shared" si="5"/>
        <v>0</v>
      </c>
    </row>
    <row r="188" spans="1:15">
      <c r="A188" s="6"/>
      <c r="B188" s="6"/>
      <c r="C188" s="6"/>
      <c r="D188" s="6" t="s">
        <v>917</v>
      </c>
      <c r="E188" s="6" t="s">
        <v>130</v>
      </c>
      <c r="F188" s="6"/>
      <c r="G188" s="6"/>
      <c r="H188" s="6"/>
      <c r="I188" s="6"/>
      <c r="J188" s="6">
        <f t="shared" si="4"/>
        <v>0</v>
      </c>
      <c r="K188" s="6"/>
      <c r="L188" s="6"/>
      <c r="M188" s="6"/>
      <c r="N188" s="6">
        <f t="shared" si="5"/>
        <v>0</v>
      </c>
    </row>
    <row r="189" spans="1:1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</row>
    <row r="190" spans="1:15" ht="30">
      <c r="A190" s="177">
        <v>91</v>
      </c>
      <c r="B190" s="177" t="s">
        <v>919</v>
      </c>
      <c r="C190" s="177"/>
      <c r="D190" s="177" t="s">
        <v>256</v>
      </c>
      <c r="E190" s="177">
        <v>3</v>
      </c>
      <c r="F190" s="177">
        <v>5000</v>
      </c>
      <c r="G190" s="177">
        <v>0</v>
      </c>
      <c r="H190" s="177"/>
      <c r="I190" s="177"/>
      <c r="J190" s="177">
        <f t="shared" si="4"/>
        <v>5000</v>
      </c>
      <c r="K190" s="178" t="s">
        <v>612</v>
      </c>
      <c r="L190" s="177">
        <v>0</v>
      </c>
      <c r="M190" s="177"/>
      <c r="N190" s="177">
        <f t="shared" si="5"/>
        <v>0</v>
      </c>
    </row>
    <row r="191" spans="1:15" ht="30">
      <c r="A191" s="6">
        <v>92</v>
      </c>
      <c r="B191" s="6" t="s">
        <v>921</v>
      </c>
      <c r="C191" s="6"/>
      <c r="D191" s="6" t="s">
        <v>922</v>
      </c>
      <c r="E191" s="6">
        <v>3</v>
      </c>
      <c r="F191" s="6">
        <v>0</v>
      </c>
      <c r="G191" s="6">
        <v>0</v>
      </c>
      <c r="H191" s="6"/>
      <c r="I191" s="6"/>
      <c r="J191" s="6">
        <f t="shared" ref="J191:J268" si="6">F191+H191-I191</f>
        <v>0</v>
      </c>
      <c r="K191" s="6"/>
      <c r="L191" s="6">
        <v>0</v>
      </c>
      <c r="M191" s="6"/>
      <c r="N191" s="6">
        <f t="shared" ref="N191:N268" si="7">G191+L191-M191</f>
        <v>0</v>
      </c>
    </row>
    <row r="192" spans="1:15" ht="45">
      <c r="A192" s="177">
        <v>93</v>
      </c>
      <c r="B192" s="177" t="s">
        <v>925</v>
      </c>
      <c r="C192" s="177">
        <v>7877100564</v>
      </c>
      <c r="D192" s="177" t="s">
        <v>923</v>
      </c>
      <c r="E192" s="177">
        <v>3</v>
      </c>
      <c r="F192" s="177">
        <v>0</v>
      </c>
      <c r="G192" s="177">
        <v>4500</v>
      </c>
      <c r="H192" s="177"/>
      <c r="I192" s="177"/>
      <c r="J192" s="177">
        <f t="shared" si="6"/>
        <v>0</v>
      </c>
      <c r="K192" s="177"/>
      <c r="L192" s="177">
        <v>5000</v>
      </c>
      <c r="M192" s="177">
        <v>7500</v>
      </c>
      <c r="N192" s="177">
        <f t="shared" si="7"/>
        <v>2000</v>
      </c>
    </row>
    <row r="193" spans="1:15" ht="30">
      <c r="A193" s="177"/>
      <c r="B193" s="177"/>
      <c r="C193" s="177"/>
      <c r="D193" s="177" t="s">
        <v>924</v>
      </c>
      <c r="E193" s="177">
        <v>2</v>
      </c>
      <c r="F193" s="177"/>
      <c r="G193" s="177"/>
      <c r="H193" s="177"/>
      <c r="I193" s="177"/>
      <c r="J193" s="177">
        <f t="shared" si="6"/>
        <v>0</v>
      </c>
      <c r="K193" s="177"/>
      <c r="L193" s="177">
        <v>5000</v>
      </c>
      <c r="M193" s="177"/>
      <c r="N193" s="177">
        <f t="shared" si="7"/>
        <v>5000</v>
      </c>
    </row>
    <row r="194" spans="1:15" ht="30">
      <c r="A194" s="6">
        <v>94</v>
      </c>
      <c r="B194" s="6" t="s">
        <v>926</v>
      </c>
      <c r="C194" s="6">
        <v>9828190088</v>
      </c>
      <c r="D194" s="6" t="s">
        <v>1002</v>
      </c>
      <c r="E194" s="6">
        <v>3</v>
      </c>
      <c r="F194" s="6">
        <v>17000</v>
      </c>
      <c r="G194" s="6">
        <v>3600</v>
      </c>
      <c r="H194" s="6">
        <v>14500</v>
      </c>
      <c r="I194" s="6">
        <v>23000</v>
      </c>
      <c r="J194" s="6">
        <f t="shared" si="6"/>
        <v>8500</v>
      </c>
      <c r="K194" s="6"/>
      <c r="L194" s="6">
        <v>6000</v>
      </c>
      <c r="M194" s="6"/>
      <c r="N194" s="6">
        <f t="shared" si="7"/>
        <v>9600</v>
      </c>
    </row>
    <row r="195" spans="1:15">
      <c r="A195" s="177">
        <v>95</v>
      </c>
      <c r="B195" s="177" t="s">
        <v>929</v>
      </c>
      <c r="C195" s="177">
        <v>9929542442</v>
      </c>
      <c r="D195" s="177" t="s">
        <v>927</v>
      </c>
      <c r="E195" s="177">
        <v>3</v>
      </c>
      <c r="F195" s="177">
        <v>14000</v>
      </c>
      <c r="G195" s="177">
        <v>0</v>
      </c>
      <c r="H195" s="177">
        <v>19000</v>
      </c>
      <c r="I195" s="177">
        <v>33000</v>
      </c>
      <c r="J195" s="177">
        <f t="shared" si="6"/>
        <v>0</v>
      </c>
      <c r="K195" s="177"/>
      <c r="L195" s="177">
        <v>0</v>
      </c>
      <c r="M195" s="177"/>
      <c r="N195" s="177">
        <f t="shared" si="7"/>
        <v>0</v>
      </c>
      <c r="O195" s="42" t="s">
        <v>1139</v>
      </c>
    </row>
    <row r="196" spans="1:15">
      <c r="A196" s="177"/>
      <c r="B196" s="177"/>
      <c r="C196" s="177"/>
      <c r="D196" s="177" t="s">
        <v>928</v>
      </c>
      <c r="E196" s="177">
        <v>2</v>
      </c>
      <c r="F196" s="177"/>
      <c r="G196" s="177">
        <v>0</v>
      </c>
      <c r="H196" s="177"/>
      <c r="I196" s="177"/>
      <c r="J196" s="177">
        <f t="shared" si="6"/>
        <v>0</v>
      </c>
      <c r="K196" s="177"/>
      <c r="L196" s="177">
        <v>0</v>
      </c>
      <c r="M196" s="177"/>
      <c r="N196" s="177">
        <f t="shared" si="7"/>
        <v>0</v>
      </c>
    </row>
    <row r="197" spans="1:15">
      <c r="A197" s="6">
        <v>96</v>
      </c>
      <c r="B197" s="6" t="s">
        <v>931</v>
      </c>
      <c r="C197" s="6">
        <v>9530028446</v>
      </c>
      <c r="D197" s="6" t="s">
        <v>930</v>
      </c>
      <c r="E197" s="6">
        <v>3</v>
      </c>
      <c r="F197" s="6">
        <v>7500</v>
      </c>
      <c r="G197" s="6">
        <v>0</v>
      </c>
      <c r="H197" s="6">
        <v>14500</v>
      </c>
      <c r="I197" s="6">
        <v>7500</v>
      </c>
      <c r="J197" s="6">
        <f t="shared" si="6"/>
        <v>14500</v>
      </c>
      <c r="K197" s="6"/>
      <c r="L197" s="6">
        <v>6000</v>
      </c>
      <c r="M197" s="6">
        <v>2000</v>
      </c>
      <c r="N197" s="6">
        <f t="shared" si="7"/>
        <v>4000</v>
      </c>
    </row>
    <row r="198" spans="1:15" ht="30">
      <c r="A198" s="177">
        <v>97</v>
      </c>
      <c r="B198" s="177" t="s">
        <v>932</v>
      </c>
      <c r="C198" s="177">
        <v>8586976727</v>
      </c>
      <c r="D198" s="177" t="s">
        <v>1003</v>
      </c>
      <c r="E198" s="177">
        <v>3</v>
      </c>
      <c r="F198" s="177">
        <v>0</v>
      </c>
      <c r="G198" s="177">
        <v>6000</v>
      </c>
      <c r="H198" s="177">
        <v>0</v>
      </c>
      <c r="I198" s="177"/>
      <c r="J198" s="177">
        <f t="shared" si="6"/>
        <v>0</v>
      </c>
      <c r="K198" s="177"/>
      <c r="L198" s="177">
        <v>3000</v>
      </c>
      <c r="M198" s="177">
        <v>2000</v>
      </c>
      <c r="N198" s="177">
        <f t="shared" si="7"/>
        <v>7000</v>
      </c>
    </row>
    <row r="199" spans="1:15">
      <c r="A199" s="6">
        <v>98</v>
      </c>
      <c r="B199" s="6" t="s">
        <v>933</v>
      </c>
      <c r="C199" s="6">
        <v>9983091546</v>
      </c>
      <c r="D199" s="6" t="s">
        <v>267</v>
      </c>
      <c r="E199" s="6">
        <v>3</v>
      </c>
      <c r="F199" s="6">
        <v>3000</v>
      </c>
      <c r="G199" s="6">
        <v>1500</v>
      </c>
      <c r="H199" s="6">
        <v>14500</v>
      </c>
      <c r="I199" s="6">
        <v>10000</v>
      </c>
      <c r="J199" s="6">
        <f t="shared" si="6"/>
        <v>7500</v>
      </c>
      <c r="K199" s="6"/>
      <c r="L199" s="6">
        <v>5000</v>
      </c>
      <c r="M199" s="6"/>
      <c r="N199" s="6">
        <f t="shared" si="7"/>
        <v>6500</v>
      </c>
    </row>
    <row r="200" spans="1:15" ht="30">
      <c r="A200" s="6">
        <v>99</v>
      </c>
      <c r="B200" s="177" t="s">
        <v>934</v>
      </c>
      <c r="C200" s="177">
        <v>9929970351</v>
      </c>
      <c r="D200" s="177" t="s">
        <v>268</v>
      </c>
      <c r="E200" s="177">
        <v>3</v>
      </c>
      <c r="F200" s="177">
        <v>6200</v>
      </c>
      <c r="G200" s="177">
        <v>2800</v>
      </c>
      <c r="H200" s="177">
        <v>14500</v>
      </c>
      <c r="I200" s="177">
        <v>6200</v>
      </c>
      <c r="J200" s="177">
        <f t="shared" si="6"/>
        <v>14500</v>
      </c>
      <c r="K200" s="177"/>
      <c r="L200" s="177">
        <v>7000</v>
      </c>
      <c r="M200" s="177">
        <v>2800</v>
      </c>
      <c r="N200" s="177">
        <f t="shared" si="7"/>
        <v>7000</v>
      </c>
    </row>
    <row r="201" spans="1:15" ht="30">
      <c r="A201" s="177">
        <v>100</v>
      </c>
      <c r="B201" s="6" t="s">
        <v>935</v>
      </c>
      <c r="C201" s="6">
        <v>9828111578</v>
      </c>
      <c r="D201" s="6" t="s">
        <v>936</v>
      </c>
      <c r="E201" s="6">
        <v>3</v>
      </c>
      <c r="F201" s="6">
        <v>0</v>
      </c>
      <c r="G201" s="6">
        <v>3000</v>
      </c>
      <c r="H201" s="6">
        <v>0</v>
      </c>
      <c r="I201" s="6"/>
      <c r="J201" s="6">
        <f t="shared" si="6"/>
        <v>0</v>
      </c>
      <c r="K201" s="180" t="s">
        <v>612</v>
      </c>
      <c r="L201" s="6">
        <v>0</v>
      </c>
      <c r="M201" s="6"/>
      <c r="N201" s="6">
        <f t="shared" si="7"/>
        <v>3000</v>
      </c>
    </row>
    <row r="202" spans="1:15">
      <c r="A202" s="6">
        <v>101</v>
      </c>
      <c r="B202" s="177" t="s">
        <v>1051</v>
      </c>
      <c r="C202" s="177">
        <v>9772378021</v>
      </c>
      <c r="D202" s="177" t="s">
        <v>1050</v>
      </c>
      <c r="E202" s="177">
        <v>3</v>
      </c>
      <c r="F202" s="177">
        <v>0</v>
      </c>
      <c r="G202" s="177">
        <v>0</v>
      </c>
      <c r="H202" s="177">
        <v>10000</v>
      </c>
      <c r="I202" s="177">
        <v>5000</v>
      </c>
      <c r="J202" s="177">
        <f t="shared" si="6"/>
        <v>5000</v>
      </c>
      <c r="K202" s="178"/>
      <c r="L202" s="177">
        <v>5000</v>
      </c>
      <c r="M202" s="177">
        <v>0</v>
      </c>
      <c r="N202" s="177">
        <f t="shared" si="7"/>
        <v>5000</v>
      </c>
    </row>
    <row r="203" spans="1:15" ht="30">
      <c r="A203" s="6">
        <v>102</v>
      </c>
      <c r="B203" s="179" t="s">
        <v>938</v>
      </c>
      <c r="C203" s="179">
        <v>9783518237</v>
      </c>
      <c r="D203" s="179" t="s">
        <v>937</v>
      </c>
      <c r="E203" s="179">
        <v>3</v>
      </c>
      <c r="F203" s="179">
        <v>5000</v>
      </c>
      <c r="G203" s="179">
        <v>0</v>
      </c>
      <c r="H203" s="179">
        <v>0</v>
      </c>
      <c r="I203" s="179">
        <v>5000</v>
      </c>
      <c r="J203" s="179">
        <f t="shared" si="6"/>
        <v>0</v>
      </c>
      <c r="K203" s="179" t="s">
        <v>939</v>
      </c>
      <c r="L203" s="179">
        <v>4000</v>
      </c>
      <c r="M203" s="179">
        <v>0</v>
      </c>
      <c r="N203" s="179">
        <f t="shared" si="7"/>
        <v>4000</v>
      </c>
    </row>
    <row r="204" spans="1:15">
      <c r="A204" s="179"/>
      <c r="B204" s="179"/>
      <c r="C204" s="179"/>
      <c r="D204" s="179" t="s">
        <v>1037</v>
      </c>
      <c r="E204" s="179">
        <v>1</v>
      </c>
      <c r="F204" s="179"/>
      <c r="G204" s="179">
        <v>0</v>
      </c>
      <c r="H204" s="179">
        <v>0</v>
      </c>
      <c r="I204" s="179"/>
      <c r="J204" s="179">
        <f t="shared" si="6"/>
        <v>0</v>
      </c>
      <c r="K204" s="179"/>
      <c r="L204" s="179">
        <v>4000</v>
      </c>
      <c r="M204" s="179">
        <v>0</v>
      </c>
      <c r="N204" s="179">
        <f t="shared" si="7"/>
        <v>4000</v>
      </c>
    </row>
    <row r="205" spans="1:15">
      <c r="A205" s="179"/>
      <c r="B205" s="179"/>
      <c r="C205" s="179"/>
      <c r="D205" s="189" t="s">
        <v>1074</v>
      </c>
      <c r="E205" s="179" t="s">
        <v>98</v>
      </c>
      <c r="F205" s="179">
        <v>0</v>
      </c>
      <c r="G205" s="179">
        <v>0</v>
      </c>
      <c r="H205" s="179">
        <v>6000</v>
      </c>
      <c r="I205" s="179">
        <v>4000</v>
      </c>
      <c r="J205" s="179">
        <f t="shared" si="6"/>
        <v>2000</v>
      </c>
      <c r="K205" s="179"/>
      <c r="L205" s="179">
        <v>0</v>
      </c>
      <c r="M205" s="179">
        <v>0</v>
      </c>
      <c r="N205" s="179">
        <f t="shared" si="7"/>
        <v>0</v>
      </c>
    </row>
    <row r="206" spans="1:15" ht="30">
      <c r="A206" s="177">
        <v>103</v>
      </c>
      <c r="B206" s="177" t="s">
        <v>941</v>
      </c>
      <c r="C206" s="177" t="s">
        <v>1090</v>
      </c>
      <c r="D206" s="177" t="s">
        <v>940</v>
      </c>
      <c r="E206" s="177">
        <v>4</v>
      </c>
      <c r="F206" s="177">
        <v>10000</v>
      </c>
      <c r="G206" s="177">
        <v>3600</v>
      </c>
      <c r="H206" s="177">
        <v>0</v>
      </c>
      <c r="I206" s="177"/>
      <c r="J206" s="177">
        <f t="shared" si="6"/>
        <v>10000</v>
      </c>
      <c r="K206" s="178" t="s">
        <v>612</v>
      </c>
      <c r="L206" s="177">
        <v>0</v>
      </c>
      <c r="M206" s="177"/>
      <c r="N206" s="177">
        <f t="shared" si="7"/>
        <v>3600</v>
      </c>
    </row>
    <row r="207" spans="1:15" ht="30">
      <c r="A207" s="179">
        <v>104</v>
      </c>
      <c r="B207" s="179" t="s">
        <v>942</v>
      </c>
      <c r="C207" s="179">
        <v>9829626268</v>
      </c>
      <c r="D207" s="179" t="s">
        <v>173</v>
      </c>
      <c r="E207" s="179">
        <v>4</v>
      </c>
      <c r="F207" s="179">
        <v>13000</v>
      </c>
      <c r="G207" s="179">
        <v>0</v>
      </c>
      <c r="H207" s="179">
        <v>0</v>
      </c>
      <c r="I207" s="179"/>
      <c r="J207" s="179">
        <f t="shared" si="6"/>
        <v>13000</v>
      </c>
      <c r="K207" s="188" t="s">
        <v>1004</v>
      </c>
      <c r="L207" s="179">
        <v>0</v>
      </c>
      <c r="M207" s="179"/>
      <c r="N207" s="179">
        <f t="shared" si="7"/>
        <v>0</v>
      </c>
    </row>
    <row r="208" spans="1:15">
      <c r="A208" s="179"/>
      <c r="B208" s="179"/>
      <c r="C208" s="179"/>
      <c r="D208" s="179" t="s">
        <v>240</v>
      </c>
      <c r="E208" s="179">
        <v>2</v>
      </c>
      <c r="F208" s="179"/>
      <c r="G208" s="179">
        <v>0</v>
      </c>
      <c r="H208" s="179">
        <v>0</v>
      </c>
      <c r="I208" s="179"/>
      <c r="J208" s="179">
        <f t="shared" si="6"/>
        <v>0</v>
      </c>
      <c r="K208" s="188" t="s">
        <v>612</v>
      </c>
      <c r="L208" s="179">
        <v>0</v>
      </c>
      <c r="M208" s="179"/>
      <c r="N208" s="179">
        <f t="shared" si="7"/>
        <v>0</v>
      </c>
    </row>
    <row r="209" spans="1:15" ht="30">
      <c r="A209" s="177">
        <v>105</v>
      </c>
      <c r="B209" s="177" t="s">
        <v>1040</v>
      </c>
      <c r="C209" s="177">
        <v>8739961696</v>
      </c>
      <c r="D209" s="177" t="s">
        <v>1038</v>
      </c>
      <c r="E209" s="177">
        <v>3</v>
      </c>
      <c r="F209" s="177">
        <v>0</v>
      </c>
      <c r="G209" s="177">
        <v>0</v>
      </c>
      <c r="H209" s="177">
        <v>14500</v>
      </c>
      <c r="I209" s="177">
        <v>0</v>
      </c>
      <c r="J209" s="177">
        <f t="shared" si="6"/>
        <v>14500</v>
      </c>
      <c r="K209" s="178"/>
      <c r="L209" s="177">
        <v>4000</v>
      </c>
      <c r="M209" s="177">
        <v>0</v>
      </c>
      <c r="N209" s="177">
        <f t="shared" si="7"/>
        <v>4000</v>
      </c>
    </row>
    <row r="210" spans="1:15">
      <c r="A210" s="177"/>
      <c r="B210" s="177"/>
      <c r="C210" s="177"/>
      <c r="D210" s="177" t="s">
        <v>1039</v>
      </c>
      <c r="E210" s="177" t="s">
        <v>98</v>
      </c>
      <c r="F210" s="177">
        <v>0</v>
      </c>
      <c r="G210" s="177">
        <v>0</v>
      </c>
      <c r="H210" s="177">
        <v>0</v>
      </c>
      <c r="I210" s="177"/>
      <c r="J210" s="177"/>
      <c r="K210" s="178"/>
      <c r="L210" s="177"/>
      <c r="M210" s="177"/>
      <c r="N210" s="177"/>
      <c r="O210" s="42" t="s">
        <v>1140</v>
      </c>
    </row>
    <row r="211" spans="1:15" ht="30">
      <c r="A211" s="6">
        <v>106</v>
      </c>
      <c r="B211" s="6" t="s">
        <v>943</v>
      </c>
      <c r="C211" s="6"/>
      <c r="D211" s="6" t="s">
        <v>271</v>
      </c>
      <c r="E211" s="6">
        <v>2</v>
      </c>
      <c r="F211" s="6">
        <v>10000</v>
      </c>
      <c r="G211" s="6">
        <v>3000</v>
      </c>
      <c r="H211" s="6">
        <v>5000</v>
      </c>
      <c r="I211" s="6"/>
      <c r="J211" s="6">
        <f t="shared" si="6"/>
        <v>15000</v>
      </c>
      <c r="K211" s="6"/>
      <c r="L211" s="6">
        <v>5000</v>
      </c>
      <c r="M211" s="6"/>
      <c r="N211" s="6">
        <f t="shared" si="7"/>
        <v>8000</v>
      </c>
    </row>
    <row r="212" spans="1:15" ht="30">
      <c r="A212" s="177">
        <v>107</v>
      </c>
      <c r="B212" s="177" t="s">
        <v>947</v>
      </c>
      <c r="C212" s="177">
        <v>7690040030</v>
      </c>
      <c r="D212" s="177" t="s">
        <v>35</v>
      </c>
      <c r="E212" s="177">
        <v>2</v>
      </c>
      <c r="F212" s="177">
        <v>25000</v>
      </c>
      <c r="G212" s="177">
        <v>9000</v>
      </c>
      <c r="H212" s="177">
        <v>13200</v>
      </c>
      <c r="I212" s="177">
        <v>11000</v>
      </c>
      <c r="J212" s="177">
        <f t="shared" si="6"/>
        <v>27200</v>
      </c>
      <c r="K212" s="177"/>
      <c r="L212" s="177">
        <v>5000</v>
      </c>
      <c r="M212" s="177"/>
      <c r="N212" s="177">
        <f t="shared" si="7"/>
        <v>14000</v>
      </c>
    </row>
    <row r="213" spans="1:15">
      <c r="A213" s="177"/>
      <c r="B213" s="177"/>
      <c r="C213" s="177"/>
      <c r="D213" s="177" t="s">
        <v>276</v>
      </c>
      <c r="E213" s="177">
        <v>1</v>
      </c>
      <c r="F213" s="177"/>
      <c r="G213" s="177"/>
      <c r="H213" s="177">
        <v>12600</v>
      </c>
      <c r="I213" s="177"/>
      <c r="J213" s="177">
        <f t="shared" si="6"/>
        <v>12600</v>
      </c>
      <c r="K213" s="177"/>
      <c r="L213" s="177">
        <v>5000</v>
      </c>
      <c r="M213" s="177"/>
      <c r="N213" s="177">
        <f t="shared" si="7"/>
        <v>5000</v>
      </c>
    </row>
    <row r="214" spans="1:15">
      <c r="A214" s="177"/>
      <c r="B214" s="177"/>
      <c r="C214" s="177"/>
      <c r="D214" s="177" t="s">
        <v>946</v>
      </c>
      <c r="E214" s="177" t="s">
        <v>102</v>
      </c>
      <c r="F214" s="177"/>
      <c r="G214" s="177"/>
      <c r="H214" s="177">
        <v>0</v>
      </c>
      <c r="I214" s="177"/>
      <c r="J214" s="177">
        <f t="shared" si="6"/>
        <v>0</v>
      </c>
      <c r="K214" s="177"/>
      <c r="L214" s="177">
        <v>5000</v>
      </c>
      <c r="M214" s="177"/>
      <c r="N214" s="177">
        <f t="shared" si="7"/>
        <v>5000</v>
      </c>
    </row>
    <row r="215" spans="1:15" ht="30">
      <c r="A215" s="6">
        <v>108</v>
      </c>
      <c r="B215" s="6" t="s">
        <v>949</v>
      </c>
      <c r="C215" s="6">
        <v>7878960692</v>
      </c>
      <c r="D215" s="6" t="s">
        <v>948</v>
      </c>
      <c r="E215" s="6">
        <v>2</v>
      </c>
      <c r="F215" s="6">
        <v>2000</v>
      </c>
      <c r="G215" s="6">
        <v>0</v>
      </c>
      <c r="H215" s="6">
        <v>9000</v>
      </c>
      <c r="I215" s="6">
        <v>11000</v>
      </c>
      <c r="J215" s="6">
        <f t="shared" si="6"/>
        <v>0</v>
      </c>
      <c r="K215" s="6"/>
      <c r="L215" s="6">
        <v>5000</v>
      </c>
      <c r="M215" s="6">
        <v>5000</v>
      </c>
      <c r="N215" s="6">
        <f t="shared" si="7"/>
        <v>0</v>
      </c>
      <c r="O215" s="42" t="s">
        <v>1139</v>
      </c>
    </row>
    <row r="216" spans="1:15">
      <c r="A216" s="6"/>
      <c r="B216" s="6"/>
      <c r="C216" s="6"/>
      <c r="D216" s="6" t="s">
        <v>1077</v>
      </c>
      <c r="E216" s="6" t="s">
        <v>98</v>
      </c>
      <c r="F216" s="6">
        <v>0</v>
      </c>
      <c r="G216" s="6">
        <v>0</v>
      </c>
      <c r="H216" s="6">
        <v>5000</v>
      </c>
      <c r="I216" s="6">
        <v>5000</v>
      </c>
      <c r="J216" s="6">
        <f t="shared" si="6"/>
        <v>0</v>
      </c>
      <c r="K216" s="6"/>
      <c r="L216" s="6">
        <v>0</v>
      </c>
      <c r="M216" s="6">
        <v>0</v>
      </c>
      <c r="N216" s="6">
        <f t="shared" si="7"/>
        <v>0</v>
      </c>
    </row>
    <row r="217" spans="1:15" ht="30">
      <c r="A217" s="177">
        <v>109</v>
      </c>
      <c r="B217" s="177" t="s">
        <v>951</v>
      </c>
      <c r="C217" s="177">
        <v>8890808366</v>
      </c>
      <c r="D217" s="177" t="s">
        <v>950</v>
      </c>
      <c r="E217" s="177">
        <v>2</v>
      </c>
      <c r="F217" s="177">
        <v>13000</v>
      </c>
      <c r="G217" s="177">
        <v>0</v>
      </c>
      <c r="H217" s="177">
        <v>13200</v>
      </c>
      <c r="I217" s="177">
        <v>13000</v>
      </c>
      <c r="J217" s="177">
        <f t="shared" si="6"/>
        <v>13200</v>
      </c>
      <c r="K217" s="177"/>
      <c r="L217" s="177">
        <v>5000</v>
      </c>
      <c r="M217" s="177">
        <v>0</v>
      </c>
      <c r="N217" s="177">
        <f t="shared" si="7"/>
        <v>5000</v>
      </c>
    </row>
    <row r="218" spans="1:15">
      <c r="A218" s="177"/>
      <c r="B218" s="177"/>
      <c r="C218" s="177"/>
      <c r="D218" s="177" t="s">
        <v>952</v>
      </c>
      <c r="E218" s="177" t="s">
        <v>102</v>
      </c>
      <c r="F218" s="177"/>
      <c r="G218" s="177">
        <v>0</v>
      </c>
      <c r="H218" s="177">
        <v>10700</v>
      </c>
      <c r="I218" s="177"/>
      <c r="J218" s="177">
        <f t="shared" si="6"/>
        <v>10700</v>
      </c>
      <c r="K218" s="177"/>
      <c r="L218" s="177">
        <v>5000</v>
      </c>
      <c r="M218" s="177">
        <v>0</v>
      </c>
      <c r="N218" s="177">
        <f t="shared" si="7"/>
        <v>5000</v>
      </c>
    </row>
    <row r="219" spans="1:15" ht="30">
      <c r="A219" s="6">
        <v>110</v>
      </c>
      <c r="B219" s="6" t="s">
        <v>954</v>
      </c>
      <c r="C219" s="6">
        <v>9772222208</v>
      </c>
      <c r="D219" s="6" t="s">
        <v>953</v>
      </c>
      <c r="E219" s="6">
        <v>2</v>
      </c>
      <c r="F219" s="6">
        <v>0</v>
      </c>
      <c r="G219" s="6">
        <v>0</v>
      </c>
      <c r="H219" s="6">
        <v>10000</v>
      </c>
      <c r="I219" s="6">
        <v>10000</v>
      </c>
      <c r="J219" s="6">
        <f t="shared" si="6"/>
        <v>0</v>
      </c>
      <c r="K219" s="6"/>
      <c r="L219" s="6">
        <v>5000</v>
      </c>
      <c r="M219" s="6">
        <v>5000</v>
      </c>
      <c r="N219" s="6">
        <f t="shared" si="7"/>
        <v>0</v>
      </c>
      <c r="O219" s="42" t="s">
        <v>1139</v>
      </c>
    </row>
    <row r="220" spans="1:15">
      <c r="A220" s="6"/>
      <c r="B220" s="6"/>
      <c r="C220" s="6"/>
      <c r="D220" s="6" t="s">
        <v>1076</v>
      </c>
      <c r="E220" s="6" t="s">
        <v>98</v>
      </c>
      <c r="F220" s="6">
        <v>0</v>
      </c>
      <c r="G220" s="6">
        <v>0</v>
      </c>
      <c r="H220" s="6">
        <v>7600</v>
      </c>
      <c r="I220" s="6">
        <v>7600</v>
      </c>
      <c r="J220" s="6">
        <f t="shared" si="6"/>
        <v>0</v>
      </c>
      <c r="K220" s="6"/>
      <c r="L220" s="6">
        <v>4700</v>
      </c>
      <c r="M220" s="6">
        <v>4700</v>
      </c>
      <c r="N220" s="6">
        <f t="shared" si="7"/>
        <v>0</v>
      </c>
    </row>
    <row r="221" spans="1:15" ht="30">
      <c r="A221" s="177">
        <v>111</v>
      </c>
      <c r="B221" s="177" t="s">
        <v>957</v>
      </c>
      <c r="C221" s="177">
        <v>8560846404</v>
      </c>
      <c r="D221" s="177" t="s">
        <v>955</v>
      </c>
      <c r="E221" s="177">
        <v>2</v>
      </c>
      <c r="F221" s="177">
        <v>10500</v>
      </c>
      <c r="G221" s="177">
        <v>6000</v>
      </c>
      <c r="H221" s="177"/>
      <c r="I221" s="177">
        <v>5000</v>
      </c>
      <c r="J221" s="177">
        <f t="shared" si="6"/>
        <v>5500</v>
      </c>
      <c r="K221" s="177"/>
      <c r="L221" s="177">
        <v>5000</v>
      </c>
      <c r="M221" s="177"/>
      <c r="N221" s="177">
        <f t="shared" si="7"/>
        <v>11000</v>
      </c>
    </row>
    <row r="222" spans="1:15">
      <c r="A222" s="177"/>
      <c r="B222" s="177"/>
      <c r="C222" s="177"/>
      <c r="D222" s="177" t="s">
        <v>956</v>
      </c>
      <c r="E222" s="177">
        <v>1</v>
      </c>
      <c r="F222" s="177"/>
      <c r="G222" s="177"/>
      <c r="H222" s="177"/>
      <c r="I222" s="177"/>
      <c r="J222" s="177">
        <f t="shared" si="6"/>
        <v>0</v>
      </c>
      <c r="K222" s="177"/>
      <c r="L222" s="177">
        <v>5000</v>
      </c>
      <c r="M222" s="177"/>
      <c r="N222" s="177">
        <f t="shared" si="7"/>
        <v>5000</v>
      </c>
    </row>
    <row r="223" spans="1:15" ht="30">
      <c r="A223" s="179">
        <v>112</v>
      </c>
      <c r="B223" s="179" t="s">
        <v>1043</v>
      </c>
      <c r="C223" s="179">
        <v>9887554517</v>
      </c>
      <c r="D223" s="179" t="s">
        <v>1041</v>
      </c>
      <c r="E223" s="179">
        <v>2</v>
      </c>
      <c r="F223" s="179">
        <v>0</v>
      </c>
      <c r="G223" s="179">
        <v>0</v>
      </c>
      <c r="H223" s="179">
        <v>20000</v>
      </c>
      <c r="I223" s="179">
        <v>20000</v>
      </c>
      <c r="J223" s="179">
        <f t="shared" si="6"/>
        <v>0</v>
      </c>
      <c r="K223" s="179"/>
      <c r="L223" s="179">
        <v>0</v>
      </c>
      <c r="M223" s="179">
        <v>0</v>
      </c>
      <c r="N223" s="179"/>
    </row>
    <row r="224" spans="1:15">
      <c r="A224" s="179"/>
      <c r="B224" s="179"/>
      <c r="C224" s="179"/>
      <c r="D224" s="179" t="s">
        <v>1042</v>
      </c>
      <c r="E224" s="179" t="s">
        <v>98</v>
      </c>
      <c r="F224" s="179">
        <v>0</v>
      </c>
      <c r="G224" s="179">
        <v>0</v>
      </c>
      <c r="H224" s="179"/>
      <c r="I224" s="179"/>
      <c r="J224" s="179"/>
      <c r="K224" s="179"/>
      <c r="L224" s="179">
        <v>0</v>
      </c>
      <c r="M224" s="179">
        <v>0</v>
      </c>
      <c r="N224" s="179"/>
    </row>
    <row r="225" spans="1:15" ht="30">
      <c r="A225" s="177">
        <v>113</v>
      </c>
      <c r="B225" s="177" t="s">
        <v>1005</v>
      </c>
      <c r="C225" s="177">
        <v>6378157337</v>
      </c>
      <c r="D225" s="177" t="s">
        <v>958</v>
      </c>
      <c r="E225" s="177">
        <v>1</v>
      </c>
      <c r="F225" s="177">
        <v>0</v>
      </c>
      <c r="G225" s="177">
        <v>0</v>
      </c>
      <c r="H225" s="177">
        <v>0</v>
      </c>
      <c r="I225" s="177">
        <v>0</v>
      </c>
      <c r="J225" s="177">
        <f t="shared" si="6"/>
        <v>0</v>
      </c>
      <c r="K225" s="177"/>
      <c r="L225" s="177">
        <v>5000</v>
      </c>
      <c r="M225" s="177">
        <v>1800</v>
      </c>
      <c r="N225" s="177">
        <f t="shared" si="7"/>
        <v>3200</v>
      </c>
    </row>
    <row r="226" spans="1:15" ht="30">
      <c r="A226" s="179">
        <v>114</v>
      </c>
      <c r="B226" s="179" t="s">
        <v>960</v>
      </c>
      <c r="C226" s="179">
        <v>9694708380</v>
      </c>
      <c r="D226" s="179" t="s">
        <v>959</v>
      </c>
      <c r="E226" s="179">
        <v>1</v>
      </c>
      <c r="F226" s="179">
        <v>0</v>
      </c>
      <c r="G226" s="179">
        <v>2400</v>
      </c>
      <c r="H226" s="179"/>
      <c r="I226" s="179"/>
      <c r="J226" s="179">
        <f t="shared" si="6"/>
        <v>0</v>
      </c>
      <c r="K226" s="179"/>
      <c r="L226" s="179">
        <v>4000</v>
      </c>
      <c r="M226" s="179"/>
      <c r="N226" s="179">
        <f t="shared" si="7"/>
        <v>6400</v>
      </c>
    </row>
    <row r="227" spans="1:15" ht="30">
      <c r="A227" s="177">
        <v>115</v>
      </c>
      <c r="B227" s="177" t="s">
        <v>961</v>
      </c>
      <c r="C227" s="177">
        <v>9828965753</v>
      </c>
      <c r="D227" s="177" t="s">
        <v>298</v>
      </c>
      <c r="E227" s="177">
        <v>1</v>
      </c>
      <c r="F227" s="177">
        <v>5000</v>
      </c>
      <c r="G227" s="177">
        <v>0</v>
      </c>
      <c r="H227" s="177">
        <v>12600</v>
      </c>
      <c r="I227" s="177">
        <v>5000</v>
      </c>
      <c r="J227" s="177">
        <f t="shared" si="6"/>
        <v>12600</v>
      </c>
      <c r="K227" s="177"/>
      <c r="L227" s="177">
        <v>0</v>
      </c>
      <c r="M227" s="177"/>
      <c r="N227" s="177">
        <f t="shared" si="7"/>
        <v>0</v>
      </c>
    </row>
    <row r="228" spans="1:15" ht="30">
      <c r="A228" s="179">
        <v>116</v>
      </c>
      <c r="B228" s="179" t="s">
        <v>962</v>
      </c>
      <c r="C228" s="179">
        <v>7877688685</v>
      </c>
      <c r="D228" s="179" t="s">
        <v>283</v>
      </c>
      <c r="E228" s="179">
        <v>1</v>
      </c>
      <c r="F228" s="179">
        <v>9000</v>
      </c>
      <c r="G228" s="179">
        <v>0</v>
      </c>
      <c r="H228" s="179">
        <v>6000</v>
      </c>
      <c r="I228" s="179">
        <v>15000</v>
      </c>
      <c r="J228" s="179">
        <f t="shared" si="6"/>
        <v>0</v>
      </c>
      <c r="K228" s="179"/>
      <c r="L228" s="179">
        <v>5000</v>
      </c>
      <c r="M228" s="179"/>
      <c r="N228" s="179">
        <f t="shared" si="7"/>
        <v>5000</v>
      </c>
    </row>
    <row r="229" spans="1:15" ht="30">
      <c r="A229" s="179"/>
      <c r="B229" s="179"/>
      <c r="C229" s="179"/>
      <c r="D229" s="179" t="s">
        <v>948</v>
      </c>
      <c r="E229" s="179" t="s">
        <v>130</v>
      </c>
      <c r="F229" s="179">
        <v>0</v>
      </c>
      <c r="G229" s="179">
        <v>0</v>
      </c>
      <c r="H229" s="179">
        <v>5000</v>
      </c>
      <c r="I229" s="179"/>
      <c r="J229" s="179">
        <v>5000</v>
      </c>
      <c r="K229" s="179"/>
      <c r="L229" s="179">
        <v>5000</v>
      </c>
      <c r="M229" s="179">
        <v>0</v>
      </c>
      <c r="N229" s="179">
        <f t="shared" si="7"/>
        <v>5000</v>
      </c>
    </row>
    <row r="230" spans="1:15" ht="30">
      <c r="A230" s="177">
        <v>117</v>
      </c>
      <c r="B230" s="177" t="s">
        <v>964</v>
      </c>
      <c r="C230" s="177">
        <v>7976235175</v>
      </c>
      <c r="D230" s="177" t="s">
        <v>1044</v>
      </c>
      <c r="E230" s="177">
        <v>1</v>
      </c>
      <c r="F230" s="177">
        <v>0</v>
      </c>
      <c r="G230" s="177">
        <v>0</v>
      </c>
      <c r="H230" s="177">
        <v>0</v>
      </c>
      <c r="I230" s="177">
        <v>0</v>
      </c>
      <c r="J230" s="177">
        <f t="shared" si="6"/>
        <v>0</v>
      </c>
      <c r="K230" s="177"/>
      <c r="L230" s="177">
        <v>3000</v>
      </c>
      <c r="M230" s="177"/>
      <c r="N230" s="177">
        <f t="shared" si="7"/>
        <v>3000</v>
      </c>
    </row>
    <row r="231" spans="1:15" ht="30">
      <c r="A231" s="179">
        <v>118</v>
      </c>
      <c r="B231" s="179" t="s">
        <v>966</v>
      </c>
      <c r="C231" s="179">
        <v>9166294727</v>
      </c>
      <c r="D231" s="179" t="s">
        <v>95</v>
      </c>
      <c r="E231" s="179">
        <v>2</v>
      </c>
      <c r="F231" s="179">
        <v>0</v>
      </c>
      <c r="G231" s="179">
        <v>0</v>
      </c>
      <c r="H231" s="179">
        <v>13200</v>
      </c>
      <c r="I231" s="179">
        <v>14000</v>
      </c>
      <c r="J231" s="179">
        <f t="shared" si="6"/>
        <v>-800</v>
      </c>
      <c r="K231" s="179"/>
      <c r="L231" s="179">
        <v>3000</v>
      </c>
      <c r="M231" s="179">
        <v>900</v>
      </c>
      <c r="N231" s="179">
        <f t="shared" si="7"/>
        <v>2100</v>
      </c>
    </row>
    <row r="232" spans="1:15" ht="30">
      <c r="A232" s="179"/>
      <c r="B232" s="179"/>
      <c r="C232" s="179"/>
      <c r="D232" s="179" t="s">
        <v>965</v>
      </c>
      <c r="E232" s="179" t="s">
        <v>102</v>
      </c>
      <c r="F232" s="179">
        <v>4000</v>
      </c>
      <c r="G232" s="179">
        <v>0</v>
      </c>
      <c r="H232" s="179">
        <v>12600</v>
      </c>
      <c r="I232" s="179"/>
      <c r="J232" s="179">
        <f t="shared" si="6"/>
        <v>16600</v>
      </c>
      <c r="K232" s="179"/>
      <c r="L232" s="179">
        <v>3000</v>
      </c>
      <c r="M232" s="179">
        <v>900</v>
      </c>
      <c r="N232" s="179">
        <f t="shared" si="7"/>
        <v>2100</v>
      </c>
    </row>
    <row r="233" spans="1:15" ht="30">
      <c r="A233" s="177">
        <v>119</v>
      </c>
      <c r="B233" s="177" t="s">
        <v>969</v>
      </c>
      <c r="C233" s="177">
        <v>9784482877</v>
      </c>
      <c r="D233" s="177" t="s">
        <v>968</v>
      </c>
      <c r="E233" s="177">
        <v>1</v>
      </c>
      <c r="F233" s="177">
        <v>17000</v>
      </c>
      <c r="G233" s="177">
        <v>3000</v>
      </c>
      <c r="H233" s="177">
        <v>12600</v>
      </c>
      <c r="I233" s="177">
        <v>15000</v>
      </c>
      <c r="J233" s="177">
        <f t="shared" si="6"/>
        <v>14600</v>
      </c>
      <c r="K233" s="177"/>
      <c r="L233" s="177">
        <v>5000</v>
      </c>
      <c r="M233" s="177"/>
      <c r="N233" s="177">
        <f t="shared" si="7"/>
        <v>8000</v>
      </c>
    </row>
    <row r="234" spans="1:15" ht="30">
      <c r="A234" s="179">
        <v>120</v>
      </c>
      <c r="B234" s="179" t="s">
        <v>353</v>
      </c>
      <c r="C234" s="179">
        <v>8504846672</v>
      </c>
      <c r="D234" s="179" t="s">
        <v>1045</v>
      </c>
      <c r="E234" s="179">
        <v>1</v>
      </c>
      <c r="F234" s="179">
        <v>5000</v>
      </c>
      <c r="G234" s="179">
        <v>0</v>
      </c>
      <c r="H234" s="179">
        <v>0</v>
      </c>
      <c r="I234" s="179">
        <v>5000</v>
      </c>
      <c r="J234" s="179">
        <f t="shared" si="6"/>
        <v>0</v>
      </c>
      <c r="K234" s="179"/>
      <c r="L234" s="179">
        <v>0</v>
      </c>
      <c r="M234" s="179"/>
      <c r="N234" s="179">
        <f t="shared" si="7"/>
        <v>0</v>
      </c>
    </row>
    <row r="235" spans="1:15" ht="30">
      <c r="A235" s="177">
        <v>121</v>
      </c>
      <c r="B235" s="177" t="s">
        <v>974</v>
      </c>
      <c r="C235" s="177">
        <v>9887109193</v>
      </c>
      <c r="D235" s="177" t="s">
        <v>973</v>
      </c>
      <c r="E235" s="177">
        <v>1</v>
      </c>
      <c r="F235" s="177">
        <v>12000</v>
      </c>
      <c r="G235" s="177">
        <v>2000</v>
      </c>
      <c r="H235" s="177">
        <v>12600</v>
      </c>
      <c r="I235" s="177">
        <v>17000</v>
      </c>
      <c r="J235" s="177">
        <f t="shared" si="6"/>
        <v>7600</v>
      </c>
      <c r="K235" s="177"/>
      <c r="L235" s="177">
        <v>6000</v>
      </c>
      <c r="M235" s="177">
        <v>2000</v>
      </c>
      <c r="N235" s="177">
        <f t="shared" si="7"/>
        <v>6000</v>
      </c>
    </row>
    <row r="236" spans="1:15" ht="30">
      <c r="A236" s="6">
        <v>122</v>
      </c>
      <c r="B236" s="186" t="s">
        <v>183</v>
      </c>
      <c r="C236" s="186">
        <v>9057162126</v>
      </c>
      <c r="D236" s="186" t="s">
        <v>975</v>
      </c>
      <c r="E236" s="186">
        <v>1</v>
      </c>
      <c r="F236" s="186">
        <v>10000</v>
      </c>
      <c r="G236" s="186">
        <v>4000</v>
      </c>
      <c r="H236" s="186">
        <v>8000</v>
      </c>
      <c r="I236" s="186">
        <v>18000</v>
      </c>
      <c r="J236" s="6">
        <f t="shared" si="6"/>
        <v>0</v>
      </c>
      <c r="K236" s="6"/>
      <c r="L236" s="6">
        <v>0</v>
      </c>
      <c r="M236" s="6">
        <v>4000</v>
      </c>
      <c r="N236" s="6">
        <f t="shared" si="7"/>
        <v>0</v>
      </c>
      <c r="O236" s="42" t="s">
        <v>1139</v>
      </c>
    </row>
    <row r="237" spans="1:15">
      <c r="A237" s="6"/>
      <c r="B237" s="186"/>
      <c r="C237" s="186"/>
      <c r="D237" s="186" t="s">
        <v>1073</v>
      </c>
      <c r="E237" s="186" t="s">
        <v>98</v>
      </c>
      <c r="F237" s="186">
        <v>0</v>
      </c>
      <c r="G237" s="186">
        <v>0</v>
      </c>
      <c r="H237" s="186">
        <v>8000</v>
      </c>
      <c r="I237" s="186">
        <v>8000</v>
      </c>
      <c r="J237" s="6"/>
      <c r="K237" s="6"/>
      <c r="L237" s="6">
        <v>0</v>
      </c>
      <c r="M237" s="6">
        <v>0</v>
      </c>
      <c r="N237" s="6">
        <f t="shared" si="7"/>
        <v>0</v>
      </c>
    </row>
    <row r="238" spans="1:15" ht="30">
      <c r="A238" s="177">
        <v>123</v>
      </c>
      <c r="B238" s="177" t="s">
        <v>1046</v>
      </c>
      <c r="C238" s="177">
        <v>7976970091</v>
      </c>
      <c r="D238" s="177" t="s">
        <v>1047</v>
      </c>
      <c r="E238" s="177">
        <v>1</v>
      </c>
      <c r="F238" s="177">
        <v>0</v>
      </c>
      <c r="G238" s="177">
        <v>0</v>
      </c>
      <c r="H238" s="177">
        <v>0</v>
      </c>
      <c r="I238" s="177">
        <v>0</v>
      </c>
      <c r="J238" s="177">
        <f t="shared" si="6"/>
        <v>0</v>
      </c>
      <c r="K238" s="177"/>
      <c r="L238" s="177">
        <v>0</v>
      </c>
      <c r="M238" s="177">
        <v>0</v>
      </c>
      <c r="N238" s="177">
        <f t="shared" si="7"/>
        <v>0</v>
      </c>
    </row>
    <row r="239" spans="1:15" ht="30">
      <c r="A239" s="177"/>
      <c r="B239" s="177"/>
      <c r="C239" s="177"/>
      <c r="D239" s="177" t="s">
        <v>1075</v>
      </c>
      <c r="E239" s="177" t="s">
        <v>98</v>
      </c>
      <c r="F239" s="177">
        <v>0</v>
      </c>
      <c r="G239" s="177">
        <v>0</v>
      </c>
      <c r="H239" s="177">
        <v>9300</v>
      </c>
      <c r="I239" s="177">
        <v>2500</v>
      </c>
      <c r="J239" s="177">
        <f t="shared" si="6"/>
        <v>6800</v>
      </c>
      <c r="K239" s="177"/>
      <c r="L239" s="177">
        <v>0</v>
      </c>
      <c r="M239" s="177">
        <v>0</v>
      </c>
      <c r="N239" s="177">
        <f t="shared" si="7"/>
        <v>0</v>
      </c>
    </row>
    <row r="240" spans="1:15" ht="30">
      <c r="A240" s="179">
        <v>124</v>
      </c>
      <c r="B240" s="179" t="s">
        <v>976</v>
      </c>
      <c r="C240" s="179">
        <v>9269651223</v>
      </c>
      <c r="D240" s="179" t="s">
        <v>1048</v>
      </c>
      <c r="E240" s="179">
        <v>1</v>
      </c>
      <c r="F240" s="179">
        <v>4000</v>
      </c>
      <c r="G240" s="179">
        <v>0</v>
      </c>
      <c r="H240" s="179">
        <v>0</v>
      </c>
      <c r="I240" s="179">
        <v>4000</v>
      </c>
      <c r="J240" s="179">
        <f t="shared" si="6"/>
        <v>0</v>
      </c>
      <c r="K240" s="179"/>
      <c r="L240" s="179">
        <v>0</v>
      </c>
      <c r="M240" s="179"/>
      <c r="N240" s="179">
        <f t="shared" si="7"/>
        <v>0</v>
      </c>
      <c r="O240" s="42" t="s">
        <v>1139</v>
      </c>
    </row>
    <row r="241" spans="1:15" ht="30">
      <c r="A241" s="177">
        <v>125</v>
      </c>
      <c r="B241" s="177" t="s">
        <v>978</v>
      </c>
      <c r="C241" s="177" t="s">
        <v>1092</v>
      </c>
      <c r="D241" s="177" t="s">
        <v>1091</v>
      </c>
      <c r="E241" s="177" t="s">
        <v>130</v>
      </c>
      <c r="F241" s="177">
        <v>8000</v>
      </c>
      <c r="G241" s="177">
        <v>0</v>
      </c>
      <c r="H241" s="177">
        <v>10200</v>
      </c>
      <c r="I241" s="177">
        <v>13000</v>
      </c>
      <c r="J241" s="177">
        <f t="shared" si="6"/>
        <v>5200</v>
      </c>
      <c r="K241" s="177"/>
      <c r="L241" s="177">
        <v>0</v>
      </c>
      <c r="M241" s="177"/>
      <c r="N241" s="177">
        <f t="shared" si="7"/>
        <v>0</v>
      </c>
    </row>
    <row r="242" spans="1:15">
      <c r="A242" s="179">
        <v>126</v>
      </c>
      <c r="B242" s="179" t="s">
        <v>981</v>
      </c>
      <c r="C242" s="179">
        <v>9772302576</v>
      </c>
      <c r="D242" s="179" t="s">
        <v>980</v>
      </c>
      <c r="E242" s="179" t="s">
        <v>130</v>
      </c>
      <c r="F242" s="179">
        <v>10000</v>
      </c>
      <c r="G242" s="179">
        <v>6000</v>
      </c>
      <c r="H242" s="179">
        <v>10200</v>
      </c>
      <c r="I242" s="179"/>
      <c r="J242" s="179">
        <f t="shared" si="6"/>
        <v>20200</v>
      </c>
      <c r="K242" s="179"/>
      <c r="L242" s="179">
        <v>5000</v>
      </c>
      <c r="M242" s="179"/>
      <c r="N242" s="179">
        <f t="shared" si="7"/>
        <v>11000</v>
      </c>
    </row>
    <row r="243" spans="1:15">
      <c r="A243" s="179"/>
      <c r="B243" s="179"/>
      <c r="C243" s="179"/>
      <c r="D243" s="179" t="s">
        <v>1049</v>
      </c>
      <c r="E243" s="179" t="s">
        <v>102</v>
      </c>
      <c r="F243" s="179"/>
      <c r="G243" s="179"/>
      <c r="H243" s="179">
        <v>0</v>
      </c>
      <c r="I243" s="179"/>
      <c r="J243" s="179">
        <f t="shared" si="6"/>
        <v>0</v>
      </c>
      <c r="K243" s="179"/>
      <c r="L243" s="179">
        <v>5000</v>
      </c>
      <c r="M243" s="179"/>
      <c r="N243" s="179">
        <f t="shared" si="7"/>
        <v>5000</v>
      </c>
    </row>
    <row r="244" spans="1:15" ht="30">
      <c r="A244" s="190">
        <v>127</v>
      </c>
      <c r="B244" s="190" t="s">
        <v>984</v>
      </c>
      <c r="C244" s="190">
        <v>9799877503</v>
      </c>
      <c r="D244" s="190" t="s">
        <v>983</v>
      </c>
      <c r="E244" s="190" t="s">
        <v>102</v>
      </c>
      <c r="F244" s="190">
        <v>5000</v>
      </c>
      <c r="G244" s="190">
        <v>3000</v>
      </c>
      <c r="H244" s="190">
        <v>10700</v>
      </c>
      <c r="I244" s="190">
        <v>5000</v>
      </c>
      <c r="J244" s="190">
        <f t="shared" si="6"/>
        <v>10700</v>
      </c>
      <c r="K244" s="190"/>
      <c r="L244" s="190">
        <v>6000</v>
      </c>
      <c r="M244" s="190">
        <v>3000</v>
      </c>
      <c r="N244" s="190">
        <f t="shared" si="7"/>
        <v>6000</v>
      </c>
    </row>
    <row r="245" spans="1:15" ht="30">
      <c r="A245" s="179">
        <v>128</v>
      </c>
      <c r="B245" s="179" t="s">
        <v>986</v>
      </c>
      <c r="C245" s="179">
        <v>9660965304</v>
      </c>
      <c r="D245" s="179" t="s">
        <v>985</v>
      </c>
      <c r="E245" s="179" t="s">
        <v>102</v>
      </c>
      <c r="F245" s="179">
        <v>5000</v>
      </c>
      <c r="G245" s="179">
        <v>0</v>
      </c>
      <c r="H245" s="179">
        <v>10700</v>
      </c>
      <c r="I245" s="179">
        <v>4000</v>
      </c>
      <c r="J245" s="179">
        <f t="shared" si="6"/>
        <v>11700</v>
      </c>
      <c r="K245" s="179"/>
      <c r="L245" s="179">
        <v>5000</v>
      </c>
      <c r="M245" s="179">
        <v>2500</v>
      </c>
      <c r="N245" s="179">
        <f t="shared" si="7"/>
        <v>2500</v>
      </c>
    </row>
    <row r="246" spans="1:15" ht="30">
      <c r="A246" s="190">
        <v>129</v>
      </c>
      <c r="B246" s="190" t="s">
        <v>1053</v>
      </c>
      <c r="C246" s="190">
        <v>9166849433</v>
      </c>
      <c r="D246" s="190" t="s">
        <v>1052</v>
      </c>
      <c r="E246" s="190" t="s">
        <v>102</v>
      </c>
      <c r="F246" s="190">
        <v>0</v>
      </c>
      <c r="G246" s="190">
        <v>0</v>
      </c>
      <c r="H246" s="190">
        <v>10700</v>
      </c>
      <c r="I246" s="190">
        <v>5000</v>
      </c>
      <c r="J246" s="190">
        <f t="shared" si="6"/>
        <v>5700</v>
      </c>
      <c r="K246" s="190"/>
      <c r="L246" s="190">
        <v>3000</v>
      </c>
      <c r="M246" s="190">
        <v>0</v>
      </c>
      <c r="N246" s="190">
        <f t="shared" si="7"/>
        <v>3000</v>
      </c>
    </row>
    <row r="247" spans="1:15" ht="30">
      <c r="A247" s="179">
        <v>130</v>
      </c>
      <c r="B247" s="179" t="s">
        <v>1055</v>
      </c>
      <c r="C247" s="179">
        <v>9660336182</v>
      </c>
      <c r="D247" s="179" t="s">
        <v>1054</v>
      </c>
      <c r="E247" s="179" t="s">
        <v>130</v>
      </c>
      <c r="F247" s="179">
        <v>0</v>
      </c>
      <c r="G247" s="179">
        <v>0</v>
      </c>
      <c r="H247" s="179">
        <v>10200</v>
      </c>
      <c r="I247" s="179">
        <v>0</v>
      </c>
      <c r="J247" s="179">
        <f t="shared" si="6"/>
        <v>10200</v>
      </c>
      <c r="K247" s="179"/>
      <c r="L247" s="179">
        <v>3000</v>
      </c>
      <c r="M247" s="179">
        <v>0</v>
      </c>
      <c r="N247" s="179">
        <f t="shared" si="7"/>
        <v>3000</v>
      </c>
    </row>
    <row r="248" spans="1:15" ht="30">
      <c r="A248" s="190">
        <v>131</v>
      </c>
      <c r="B248" s="190" t="s">
        <v>1056</v>
      </c>
      <c r="C248" s="190">
        <v>9660336182</v>
      </c>
      <c r="D248" s="190" t="s">
        <v>1093</v>
      </c>
      <c r="E248" s="190" t="s">
        <v>130</v>
      </c>
      <c r="F248" s="190">
        <v>0</v>
      </c>
      <c r="G248" s="190">
        <v>0</v>
      </c>
      <c r="H248" s="190">
        <v>10200</v>
      </c>
      <c r="I248" s="190">
        <v>0</v>
      </c>
      <c r="J248" s="190">
        <f t="shared" si="6"/>
        <v>10200</v>
      </c>
      <c r="K248" s="190"/>
      <c r="L248" s="190">
        <v>3000</v>
      </c>
      <c r="M248" s="190">
        <v>0</v>
      </c>
      <c r="N248" s="190">
        <f t="shared" si="7"/>
        <v>3000</v>
      </c>
    </row>
    <row r="249" spans="1:15" ht="30">
      <c r="A249" s="179">
        <v>132</v>
      </c>
      <c r="B249" s="179" t="s">
        <v>1058</v>
      </c>
      <c r="C249" s="179" t="s">
        <v>1094</v>
      </c>
      <c r="D249" s="179" t="s">
        <v>1057</v>
      </c>
      <c r="E249" s="179" t="s">
        <v>98</v>
      </c>
      <c r="F249" s="179">
        <v>0</v>
      </c>
      <c r="G249" s="179">
        <v>0</v>
      </c>
      <c r="H249" s="179">
        <v>9300</v>
      </c>
      <c r="I249" s="179">
        <v>0</v>
      </c>
      <c r="J249" s="179">
        <f t="shared" si="6"/>
        <v>9300</v>
      </c>
      <c r="K249" s="179"/>
      <c r="L249" s="179">
        <v>3000</v>
      </c>
      <c r="M249" s="179">
        <v>0</v>
      </c>
      <c r="N249" s="179">
        <f t="shared" si="7"/>
        <v>3000</v>
      </c>
    </row>
    <row r="250" spans="1:15" ht="30">
      <c r="A250" s="190">
        <v>133</v>
      </c>
      <c r="B250" s="190" t="s">
        <v>1062</v>
      </c>
      <c r="C250" s="190">
        <v>6367858659</v>
      </c>
      <c r="D250" s="190" t="s">
        <v>1059</v>
      </c>
      <c r="E250" s="190" t="s">
        <v>102</v>
      </c>
      <c r="F250" s="190">
        <v>5000</v>
      </c>
      <c r="G250" s="190">
        <v>0</v>
      </c>
      <c r="H250" s="190">
        <v>10700</v>
      </c>
      <c r="I250" s="190"/>
      <c r="J250" s="190">
        <f t="shared" si="6"/>
        <v>15700</v>
      </c>
      <c r="K250" s="190"/>
      <c r="L250" s="190">
        <v>5000</v>
      </c>
      <c r="M250" s="190">
        <v>0</v>
      </c>
      <c r="N250" s="190">
        <f t="shared" si="7"/>
        <v>5000</v>
      </c>
    </row>
    <row r="251" spans="1:15">
      <c r="A251" s="190"/>
      <c r="B251" s="190"/>
      <c r="C251" s="190"/>
      <c r="D251" s="190" t="s">
        <v>1060</v>
      </c>
      <c r="E251" s="190" t="s">
        <v>98</v>
      </c>
      <c r="F251" s="190">
        <v>0</v>
      </c>
      <c r="G251" s="190">
        <v>0</v>
      </c>
      <c r="H251" s="190">
        <v>0</v>
      </c>
      <c r="I251" s="190"/>
      <c r="J251" s="190">
        <f t="shared" si="6"/>
        <v>0</v>
      </c>
      <c r="K251" s="190"/>
      <c r="L251" s="190">
        <v>5000</v>
      </c>
      <c r="M251" s="190">
        <v>0</v>
      </c>
      <c r="N251" s="190">
        <f t="shared" si="7"/>
        <v>5000</v>
      </c>
    </row>
    <row r="252" spans="1:15">
      <c r="A252" s="190"/>
      <c r="B252" s="190"/>
      <c r="C252" s="190"/>
      <c r="D252" s="190" t="s">
        <v>1061</v>
      </c>
      <c r="E252" s="190" t="s">
        <v>98</v>
      </c>
      <c r="F252" s="190">
        <v>0</v>
      </c>
      <c r="G252" s="190">
        <v>0</v>
      </c>
      <c r="H252" s="190">
        <v>0</v>
      </c>
      <c r="I252" s="190"/>
      <c r="J252" s="190">
        <f t="shared" si="6"/>
        <v>0</v>
      </c>
      <c r="K252" s="190"/>
      <c r="L252" s="190">
        <v>5000</v>
      </c>
      <c r="M252" s="190">
        <v>0</v>
      </c>
      <c r="N252" s="190">
        <f t="shared" si="7"/>
        <v>5000</v>
      </c>
    </row>
    <row r="253" spans="1:15" ht="30">
      <c r="A253" s="179">
        <v>134</v>
      </c>
      <c r="B253" s="179" t="s">
        <v>1063</v>
      </c>
      <c r="C253" s="179">
        <v>6378441842</v>
      </c>
      <c r="D253" s="179" t="s">
        <v>286</v>
      </c>
      <c r="E253" s="179" t="s">
        <v>102</v>
      </c>
      <c r="F253" s="179">
        <v>5000</v>
      </c>
      <c r="G253" s="179">
        <v>0</v>
      </c>
      <c r="H253" s="179">
        <v>0</v>
      </c>
      <c r="I253" s="179"/>
      <c r="J253" s="179">
        <f t="shared" si="6"/>
        <v>5000</v>
      </c>
      <c r="K253" s="188" t="s">
        <v>612</v>
      </c>
      <c r="L253" s="179">
        <v>0</v>
      </c>
      <c r="M253" s="179"/>
      <c r="N253" s="179"/>
    </row>
    <row r="254" spans="1:15">
      <c r="A254" s="177">
        <v>135</v>
      </c>
      <c r="B254" s="177" t="s">
        <v>254</v>
      </c>
      <c r="C254" s="177">
        <v>7023768131</v>
      </c>
      <c r="D254" s="177" t="s">
        <v>987</v>
      </c>
      <c r="E254" s="177" t="s">
        <v>130</v>
      </c>
      <c r="F254" s="177">
        <v>0</v>
      </c>
      <c r="G254" s="177">
        <v>0</v>
      </c>
      <c r="H254" s="177">
        <v>7000</v>
      </c>
      <c r="I254" s="177">
        <v>7000</v>
      </c>
      <c r="J254" s="177">
        <f t="shared" si="6"/>
        <v>0</v>
      </c>
      <c r="K254" s="177"/>
      <c r="L254" s="177">
        <v>3000</v>
      </c>
      <c r="M254" s="177">
        <v>3000</v>
      </c>
      <c r="N254" s="177">
        <f t="shared" si="7"/>
        <v>0</v>
      </c>
      <c r="O254" s="42" t="s">
        <v>1139</v>
      </c>
    </row>
    <row r="255" spans="1:15">
      <c r="A255" s="177"/>
      <c r="B255" s="177"/>
      <c r="C255" s="177"/>
      <c r="D255" s="177" t="s">
        <v>988</v>
      </c>
      <c r="E255" s="177" t="s">
        <v>130</v>
      </c>
      <c r="F255" s="177"/>
      <c r="G255" s="177"/>
      <c r="H255" s="177">
        <v>7000</v>
      </c>
      <c r="I255" s="177">
        <v>7000</v>
      </c>
      <c r="J255" s="177">
        <f t="shared" si="6"/>
        <v>0</v>
      </c>
      <c r="K255" s="177"/>
      <c r="L255" s="177">
        <v>3000</v>
      </c>
      <c r="M255" s="177">
        <v>3000</v>
      </c>
      <c r="N255" s="177">
        <f t="shared" si="7"/>
        <v>0</v>
      </c>
    </row>
    <row r="256" spans="1:15" ht="30">
      <c r="A256" s="179">
        <v>136</v>
      </c>
      <c r="B256" s="179" t="s">
        <v>989</v>
      </c>
      <c r="C256" s="179" t="s">
        <v>1094</v>
      </c>
      <c r="D256" s="179" t="s">
        <v>971</v>
      </c>
      <c r="E256" s="179" t="s">
        <v>130</v>
      </c>
      <c r="F256" s="179">
        <v>2000</v>
      </c>
      <c r="G256" s="179">
        <v>0</v>
      </c>
      <c r="H256" s="179">
        <v>6000</v>
      </c>
      <c r="I256" s="179">
        <v>8000</v>
      </c>
      <c r="J256" s="179">
        <f t="shared" si="6"/>
        <v>0</v>
      </c>
      <c r="K256" s="179"/>
      <c r="L256" s="179">
        <v>0</v>
      </c>
      <c r="M256" s="179"/>
      <c r="N256" s="179">
        <f t="shared" si="7"/>
        <v>0</v>
      </c>
      <c r="O256" s="42" t="s">
        <v>1139</v>
      </c>
    </row>
    <row r="257" spans="1:15">
      <c r="A257" s="177">
        <v>137</v>
      </c>
      <c r="B257" s="177" t="s">
        <v>1007</v>
      </c>
      <c r="C257" s="177">
        <v>8619126875</v>
      </c>
      <c r="D257" s="177" t="s">
        <v>290</v>
      </c>
      <c r="E257" s="177" t="s">
        <v>130</v>
      </c>
      <c r="F257" s="177">
        <v>0</v>
      </c>
      <c r="G257" s="177">
        <v>3000</v>
      </c>
      <c r="H257" s="177">
        <v>10200</v>
      </c>
      <c r="I257" s="177">
        <v>5000</v>
      </c>
      <c r="J257" s="177">
        <f t="shared" si="6"/>
        <v>5200</v>
      </c>
      <c r="K257" s="177"/>
      <c r="L257" s="177">
        <v>5000</v>
      </c>
      <c r="M257" s="177">
        <v>2500</v>
      </c>
      <c r="N257" s="177">
        <f t="shared" si="7"/>
        <v>5500</v>
      </c>
    </row>
    <row r="258" spans="1:15">
      <c r="A258" s="177"/>
      <c r="B258" s="177"/>
      <c r="C258" s="177"/>
      <c r="D258" s="177" t="s">
        <v>1006</v>
      </c>
      <c r="E258" s="177" t="s">
        <v>130</v>
      </c>
      <c r="F258" s="177"/>
      <c r="G258" s="177"/>
      <c r="H258" s="177">
        <v>10200</v>
      </c>
      <c r="I258" s="177">
        <v>5000</v>
      </c>
      <c r="J258" s="177">
        <f t="shared" si="6"/>
        <v>5200</v>
      </c>
      <c r="K258" s="177"/>
      <c r="L258" s="177">
        <v>5000</v>
      </c>
      <c r="M258" s="177"/>
      <c r="N258" s="177">
        <f t="shared" si="7"/>
        <v>5000</v>
      </c>
    </row>
    <row r="259" spans="1:15" ht="30">
      <c r="A259" s="179">
        <v>138</v>
      </c>
      <c r="B259" s="179" t="s">
        <v>1065</v>
      </c>
      <c r="C259" s="179">
        <v>9982643206</v>
      </c>
      <c r="D259" s="179" t="s">
        <v>1064</v>
      </c>
      <c r="E259" s="179" t="s">
        <v>98</v>
      </c>
      <c r="F259" s="179">
        <v>0</v>
      </c>
      <c r="G259" s="179">
        <v>0</v>
      </c>
      <c r="H259" s="179">
        <v>3900</v>
      </c>
      <c r="I259" s="179">
        <v>3900</v>
      </c>
      <c r="J259" s="179">
        <f t="shared" si="6"/>
        <v>0</v>
      </c>
      <c r="K259" s="179"/>
      <c r="L259" s="179">
        <v>0</v>
      </c>
      <c r="M259" s="179">
        <v>0</v>
      </c>
      <c r="N259" s="179">
        <f t="shared" si="7"/>
        <v>0</v>
      </c>
      <c r="O259" s="42" t="s">
        <v>1139</v>
      </c>
    </row>
    <row r="260" spans="1:15" ht="30">
      <c r="A260" s="177">
        <v>139</v>
      </c>
      <c r="B260" s="177" t="s">
        <v>1067</v>
      </c>
      <c r="C260" s="177">
        <v>8504071989</v>
      </c>
      <c r="D260" s="177" t="s">
        <v>1066</v>
      </c>
      <c r="E260" s="177" t="s">
        <v>98</v>
      </c>
      <c r="F260" s="177">
        <v>0</v>
      </c>
      <c r="G260" s="177">
        <v>0</v>
      </c>
      <c r="H260" s="177">
        <v>10000</v>
      </c>
      <c r="I260" s="177">
        <v>10000</v>
      </c>
      <c r="J260" s="177">
        <f t="shared" si="6"/>
        <v>0</v>
      </c>
      <c r="K260" s="177"/>
      <c r="L260" s="177">
        <v>0</v>
      </c>
      <c r="M260" s="177">
        <v>0</v>
      </c>
      <c r="N260" s="177">
        <f t="shared" si="7"/>
        <v>0</v>
      </c>
      <c r="O260" s="42" t="s">
        <v>1139</v>
      </c>
    </row>
    <row r="261" spans="1:15" ht="30">
      <c r="A261" s="179">
        <v>140</v>
      </c>
      <c r="B261" s="179" t="s">
        <v>1069</v>
      </c>
      <c r="C261" s="179">
        <v>7665572652</v>
      </c>
      <c r="D261" s="179" t="s">
        <v>1068</v>
      </c>
      <c r="E261" s="179" t="s">
        <v>98</v>
      </c>
      <c r="F261" s="179">
        <v>0</v>
      </c>
      <c r="G261" s="179">
        <v>0</v>
      </c>
      <c r="H261" s="179">
        <v>10000</v>
      </c>
      <c r="I261" s="179">
        <v>10000</v>
      </c>
      <c r="J261" s="179">
        <f t="shared" si="6"/>
        <v>0</v>
      </c>
      <c r="K261" s="179"/>
      <c r="L261" s="179">
        <v>0</v>
      </c>
      <c r="M261" s="179">
        <v>0</v>
      </c>
      <c r="N261" s="179">
        <f t="shared" si="7"/>
        <v>0</v>
      </c>
      <c r="O261" s="42" t="s">
        <v>1139</v>
      </c>
    </row>
    <row r="262" spans="1:15" ht="30">
      <c r="A262" s="177">
        <v>141</v>
      </c>
      <c r="B262" s="177" t="s">
        <v>1071</v>
      </c>
      <c r="C262" s="177">
        <v>9929707326</v>
      </c>
      <c r="D262" s="177" t="s">
        <v>1070</v>
      </c>
      <c r="E262" s="177" t="s">
        <v>98</v>
      </c>
      <c r="F262" s="177">
        <v>0</v>
      </c>
      <c r="G262" s="177">
        <v>0</v>
      </c>
      <c r="H262" s="177">
        <v>10000</v>
      </c>
      <c r="I262" s="177">
        <v>10000</v>
      </c>
      <c r="J262" s="177">
        <f t="shared" si="6"/>
        <v>0</v>
      </c>
      <c r="K262" s="177"/>
      <c r="L262" s="177">
        <v>0</v>
      </c>
      <c r="M262" s="177">
        <v>0</v>
      </c>
      <c r="N262" s="177">
        <f t="shared" si="7"/>
        <v>0</v>
      </c>
    </row>
    <row r="263" spans="1:15" ht="30">
      <c r="A263" s="179">
        <v>142</v>
      </c>
      <c r="B263" s="179" t="s">
        <v>1079</v>
      </c>
      <c r="C263" s="179">
        <v>9772551901</v>
      </c>
      <c r="D263" s="179" t="s">
        <v>1078</v>
      </c>
      <c r="E263" s="179" t="s">
        <v>98</v>
      </c>
      <c r="F263" s="179">
        <v>0</v>
      </c>
      <c r="G263" s="179">
        <v>0</v>
      </c>
      <c r="H263" s="179">
        <v>9300</v>
      </c>
      <c r="I263" s="179">
        <v>2500</v>
      </c>
      <c r="J263" s="179">
        <f t="shared" si="6"/>
        <v>6800</v>
      </c>
      <c r="K263" s="179"/>
      <c r="L263" s="179">
        <v>0</v>
      </c>
      <c r="M263" s="179">
        <v>0</v>
      </c>
      <c r="N263" s="179">
        <f t="shared" si="7"/>
        <v>0</v>
      </c>
    </row>
    <row r="264" spans="1:15" ht="30">
      <c r="A264" s="177">
        <v>143</v>
      </c>
      <c r="B264" s="177" t="s">
        <v>1080</v>
      </c>
      <c r="C264" s="177" t="s">
        <v>1094</v>
      </c>
      <c r="D264" s="177" t="s">
        <v>298</v>
      </c>
      <c r="E264" s="177" t="s">
        <v>98</v>
      </c>
      <c r="F264" s="177">
        <v>0</v>
      </c>
      <c r="G264" s="177">
        <v>0</v>
      </c>
      <c r="H264" s="177">
        <v>9300</v>
      </c>
      <c r="I264" s="177">
        <v>0</v>
      </c>
      <c r="J264" s="177">
        <f t="shared" si="6"/>
        <v>9300</v>
      </c>
      <c r="K264" s="177"/>
      <c r="L264" s="177">
        <v>5000</v>
      </c>
      <c r="M264" s="177">
        <v>0</v>
      </c>
      <c r="N264" s="177">
        <f t="shared" si="7"/>
        <v>5000</v>
      </c>
    </row>
    <row r="265" spans="1:15" ht="30">
      <c r="A265" s="179">
        <v>144</v>
      </c>
      <c r="B265" s="179" t="s">
        <v>1083</v>
      </c>
      <c r="C265" s="179">
        <v>9928507102</v>
      </c>
      <c r="D265" s="179" t="s">
        <v>1082</v>
      </c>
      <c r="E265" s="179" t="s">
        <v>98</v>
      </c>
      <c r="F265" s="179">
        <v>0</v>
      </c>
      <c r="G265" s="179">
        <v>0</v>
      </c>
      <c r="H265" s="179">
        <v>9300</v>
      </c>
      <c r="I265" s="179">
        <v>0</v>
      </c>
      <c r="J265" s="179">
        <f t="shared" si="6"/>
        <v>9300</v>
      </c>
      <c r="K265" s="179"/>
      <c r="L265" s="179">
        <v>5000</v>
      </c>
      <c r="M265" s="179">
        <v>0</v>
      </c>
      <c r="N265" s="179">
        <f t="shared" si="7"/>
        <v>5000</v>
      </c>
    </row>
    <row r="266" spans="1:15" ht="30">
      <c r="A266" s="177">
        <v>145</v>
      </c>
      <c r="B266" s="177" t="s">
        <v>1086</v>
      </c>
      <c r="C266" s="177" t="s">
        <v>1094</v>
      </c>
      <c r="D266" s="177" t="s">
        <v>1084</v>
      </c>
      <c r="E266" s="177" t="s">
        <v>98</v>
      </c>
      <c r="F266" s="177">
        <v>0</v>
      </c>
      <c r="G266" s="177">
        <v>0</v>
      </c>
      <c r="H266" s="177">
        <v>9300</v>
      </c>
      <c r="I266" s="177">
        <v>0</v>
      </c>
      <c r="J266" s="177">
        <f t="shared" si="6"/>
        <v>9300</v>
      </c>
      <c r="K266" s="177"/>
      <c r="L266" s="177">
        <v>3000</v>
      </c>
      <c r="M266" s="177"/>
      <c r="N266" s="177">
        <f t="shared" si="7"/>
        <v>3000</v>
      </c>
    </row>
    <row r="267" spans="1:15">
      <c r="A267" s="177"/>
      <c r="B267" s="177"/>
      <c r="C267" s="177"/>
      <c r="D267" s="177" t="s">
        <v>1088</v>
      </c>
      <c r="E267" s="177" t="s">
        <v>98</v>
      </c>
      <c r="F267" s="177">
        <v>0</v>
      </c>
      <c r="G267" s="177">
        <v>0</v>
      </c>
      <c r="H267" s="177">
        <v>9300</v>
      </c>
      <c r="I267" s="177">
        <v>0</v>
      </c>
      <c r="J267" s="177">
        <f t="shared" si="6"/>
        <v>9300</v>
      </c>
      <c r="K267" s="177"/>
      <c r="L267" s="177">
        <v>3000</v>
      </c>
      <c r="M267" s="177"/>
      <c r="N267" s="177">
        <f t="shared" si="7"/>
        <v>3000</v>
      </c>
    </row>
    <row r="268" spans="1:15" ht="30">
      <c r="A268" s="179">
        <v>146</v>
      </c>
      <c r="B268" s="179" t="s">
        <v>1087</v>
      </c>
      <c r="C268" s="179" t="s">
        <v>1094</v>
      </c>
      <c r="D268" s="179" t="s">
        <v>1085</v>
      </c>
      <c r="E268" s="179" t="s">
        <v>98</v>
      </c>
      <c r="F268" s="179">
        <v>0</v>
      </c>
      <c r="G268" s="179">
        <v>0</v>
      </c>
      <c r="H268" s="179">
        <v>9300</v>
      </c>
      <c r="I268" s="179">
        <v>0</v>
      </c>
      <c r="J268" s="179">
        <f t="shared" si="6"/>
        <v>9300</v>
      </c>
      <c r="K268" s="179"/>
      <c r="L268" s="179">
        <v>3000</v>
      </c>
      <c r="M268" s="179"/>
      <c r="N268" s="179">
        <f t="shared" si="7"/>
        <v>3000</v>
      </c>
    </row>
    <row r="269" spans="1:1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</row>
    <row r="270" spans="1:1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</row>
    <row r="271" spans="1:1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</row>
    <row r="272" spans="1:1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</row>
    <row r="273" spans="1:1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</row>
  </sheetData>
  <mergeCells count="2">
    <mergeCell ref="B1:K1"/>
    <mergeCell ref="L1:N1"/>
  </mergeCells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S153"/>
  <sheetViews>
    <sheetView workbookViewId="0">
      <selection activeCell="E167" sqref="E167"/>
    </sheetView>
  </sheetViews>
  <sheetFormatPr defaultRowHeight="15"/>
  <cols>
    <col min="1" max="1" width="13.7109375" bestFit="1" customWidth="1"/>
    <col min="2" max="4" width="13.7109375" customWidth="1"/>
    <col min="5" max="5" width="11.7109375" customWidth="1"/>
    <col min="7" max="7" width="12.28515625" bestFit="1" customWidth="1"/>
  </cols>
  <sheetData>
    <row r="1" spans="1:19">
      <c r="A1" s="283" t="s">
        <v>621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4" t="s">
        <v>990</v>
      </c>
      <c r="M1" s="285"/>
      <c r="N1" s="286"/>
      <c r="O1" s="154"/>
    </row>
    <row r="2" spans="1:19">
      <c r="A2" s="154" t="s">
        <v>619</v>
      </c>
      <c r="B2" s="154" t="s">
        <v>995</v>
      </c>
      <c r="C2" s="154" t="s">
        <v>996</v>
      </c>
      <c r="D2" s="154" t="s">
        <v>997</v>
      </c>
      <c r="E2" s="154" t="s">
        <v>61</v>
      </c>
      <c r="F2" s="154" t="s">
        <v>573</v>
      </c>
      <c r="G2" s="154" t="s">
        <v>620</v>
      </c>
      <c r="H2" s="154" t="s">
        <v>639</v>
      </c>
      <c r="I2" s="154" t="s">
        <v>581</v>
      </c>
      <c r="J2" s="154" t="s">
        <v>30</v>
      </c>
      <c r="K2" s="154" t="s">
        <v>11</v>
      </c>
      <c r="L2" s="154" t="s">
        <v>31</v>
      </c>
      <c r="M2" s="154" t="s">
        <v>581</v>
      </c>
      <c r="N2" s="154" t="s">
        <v>30</v>
      </c>
      <c r="O2" s="154"/>
      <c r="R2" s="165" t="s">
        <v>835</v>
      </c>
      <c r="S2">
        <v>884400</v>
      </c>
    </row>
    <row r="3" spans="1:19">
      <c r="A3" s="154"/>
      <c r="B3" s="154"/>
      <c r="C3" s="154"/>
      <c r="D3" s="154"/>
      <c r="E3" s="154"/>
      <c r="F3" s="154"/>
      <c r="G3" s="154">
        <f>SUM(G4:G301)</f>
        <v>982100</v>
      </c>
      <c r="H3" s="154">
        <f>SUM(H4:H3001)</f>
        <v>1175800</v>
      </c>
      <c r="I3" s="154">
        <f>SUM(I4:I301)</f>
        <v>1277700</v>
      </c>
      <c r="J3" s="154">
        <f>SUM(J4:J301)</f>
        <v>880200</v>
      </c>
      <c r="K3" s="154"/>
      <c r="L3" s="154">
        <f>SUM(L4:L301)</f>
        <v>126850</v>
      </c>
      <c r="M3" s="154">
        <f>SUM(M4:M301)</f>
        <v>111750</v>
      </c>
      <c r="N3" s="154">
        <f>SUM(N4:N301)</f>
        <v>7100</v>
      </c>
      <c r="O3" s="154" t="s">
        <v>992</v>
      </c>
      <c r="R3" t="s">
        <v>581</v>
      </c>
      <c r="S3">
        <v>1070000</v>
      </c>
    </row>
    <row r="4" spans="1:19">
      <c r="A4" s="155" t="s">
        <v>622</v>
      </c>
      <c r="B4" s="155"/>
      <c r="C4" s="155"/>
      <c r="D4" s="155"/>
      <c r="E4" s="155" t="s">
        <v>65</v>
      </c>
      <c r="F4" s="155">
        <v>11</v>
      </c>
      <c r="G4" s="155">
        <v>21000</v>
      </c>
      <c r="H4" s="155">
        <v>0</v>
      </c>
      <c r="I4" s="155">
        <v>21000</v>
      </c>
      <c r="J4" s="155">
        <f>G4+H4-I4</f>
        <v>0</v>
      </c>
      <c r="K4" s="156" t="s">
        <v>623</v>
      </c>
      <c r="L4" s="17"/>
      <c r="M4" s="17"/>
      <c r="N4" s="17"/>
      <c r="O4" s="17"/>
      <c r="R4" t="s">
        <v>836</v>
      </c>
      <c r="S4">
        <v>1071500</v>
      </c>
    </row>
    <row r="5" spans="1:19">
      <c r="A5" s="155" t="s">
        <v>991</v>
      </c>
      <c r="B5" s="155"/>
      <c r="C5" s="155"/>
      <c r="D5" s="155"/>
      <c r="E5" s="155" t="s">
        <v>67</v>
      </c>
      <c r="F5" s="155">
        <v>11</v>
      </c>
      <c r="G5" s="155">
        <v>10000</v>
      </c>
      <c r="H5" s="155">
        <v>0</v>
      </c>
      <c r="I5" s="155">
        <v>10000</v>
      </c>
      <c r="J5" s="155">
        <f>G5+H5-I5</f>
        <v>0</v>
      </c>
      <c r="K5" s="156" t="s">
        <v>623</v>
      </c>
      <c r="L5" s="17"/>
      <c r="M5" s="17"/>
      <c r="N5" s="17"/>
      <c r="O5" s="17"/>
    </row>
    <row r="6" spans="1:19">
      <c r="A6" s="155" t="s">
        <v>624</v>
      </c>
      <c r="B6" s="155"/>
      <c r="C6" s="155"/>
      <c r="D6" s="155"/>
      <c r="E6" s="155" t="s">
        <v>625</v>
      </c>
      <c r="F6" s="155">
        <v>11</v>
      </c>
      <c r="G6" s="155">
        <v>6000</v>
      </c>
      <c r="H6" s="155">
        <v>0</v>
      </c>
      <c r="I6" s="155">
        <v>6000</v>
      </c>
      <c r="J6" s="155">
        <f t="shared" ref="J6:J64" si="0">G6+H6-I6</f>
        <v>0</v>
      </c>
      <c r="K6" s="156" t="s">
        <v>623</v>
      </c>
      <c r="L6" s="17"/>
      <c r="M6" s="17"/>
      <c r="N6" s="17"/>
      <c r="O6" s="17"/>
    </row>
    <row r="7" spans="1:19">
      <c r="A7" s="155" t="s">
        <v>626</v>
      </c>
      <c r="B7" s="155"/>
      <c r="C7" s="155"/>
      <c r="D7" s="155"/>
      <c r="E7" s="155" t="s">
        <v>627</v>
      </c>
      <c r="F7" s="155">
        <v>11</v>
      </c>
      <c r="G7" s="155">
        <v>15000</v>
      </c>
      <c r="H7" s="155">
        <v>0</v>
      </c>
      <c r="I7" s="155">
        <v>15000</v>
      </c>
      <c r="J7" s="155">
        <f t="shared" si="0"/>
        <v>0</v>
      </c>
      <c r="K7" s="156" t="s">
        <v>623</v>
      </c>
      <c r="L7" s="17"/>
      <c r="M7" s="17"/>
      <c r="N7" s="17"/>
      <c r="O7" s="17"/>
    </row>
    <row r="8" spans="1:19">
      <c r="A8" s="155" t="s">
        <v>628</v>
      </c>
      <c r="B8" s="155"/>
      <c r="C8" s="155"/>
      <c r="D8" s="155"/>
      <c r="E8" s="155" t="s">
        <v>77</v>
      </c>
      <c r="F8" s="155">
        <v>11</v>
      </c>
      <c r="G8" s="155">
        <v>12300</v>
      </c>
      <c r="H8" s="155">
        <v>0</v>
      </c>
      <c r="I8" s="155">
        <v>12300</v>
      </c>
      <c r="J8" s="155">
        <f t="shared" si="0"/>
        <v>0</v>
      </c>
      <c r="K8" s="156" t="s">
        <v>623</v>
      </c>
      <c r="L8" s="17"/>
      <c r="M8" s="17"/>
      <c r="N8" s="17"/>
      <c r="O8" s="17"/>
    </row>
    <row r="9" spans="1:19">
      <c r="A9" s="155" t="s">
        <v>629</v>
      </c>
      <c r="B9" s="155"/>
      <c r="C9" s="155"/>
      <c r="D9" s="155"/>
      <c r="E9" s="155" t="s">
        <v>83</v>
      </c>
      <c r="F9" s="155">
        <v>11</v>
      </c>
      <c r="G9" s="155">
        <v>17000</v>
      </c>
      <c r="H9" s="155">
        <v>0</v>
      </c>
      <c r="I9" s="155">
        <v>17000</v>
      </c>
      <c r="J9" s="155">
        <f t="shared" si="0"/>
        <v>0</v>
      </c>
      <c r="K9" s="156" t="s">
        <v>623</v>
      </c>
      <c r="L9" s="17"/>
      <c r="M9" s="17"/>
      <c r="N9" s="17"/>
      <c r="O9" s="17"/>
    </row>
    <row r="10" spans="1:19">
      <c r="A10" s="155" t="s">
        <v>630</v>
      </c>
      <c r="B10" s="155"/>
      <c r="C10" s="155"/>
      <c r="D10" s="155"/>
      <c r="E10" s="155" t="s">
        <v>70</v>
      </c>
      <c r="F10" s="155">
        <v>11</v>
      </c>
      <c r="G10" s="155">
        <v>13000</v>
      </c>
      <c r="H10" s="155">
        <v>0</v>
      </c>
      <c r="I10" s="155">
        <v>13000</v>
      </c>
      <c r="J10" s="155">
        <f t="shared" si="0"/>
        <v>0</v>
      </c>
      <c r="K10" s="156" t="s">
        <v>623</v>
      </c>
      <c r="L10" s="17"/>
      <c r="M10" s="17"/>
      <c r="N10" s="17"/>
      <c r="O10" s="17"/>
    </row>
    <row r="11" spans="1:19">
      <c r="A11" s="155"/>
      <c r="B11" s="155"/>
      <c r="C11" s="155"/>
      <c r="D11" s="155"/>
      <c r="E11" s="155" t="s">
        <v>71</v>
      </c>
      <c r="F11" s="155">
        <v>11</v>
      </c>
      <c r="G11" s="155">
        <v>13000</v>
      </c>
      <c r="H11" s="155">
        <v>0</v>
      </c>
      <c r="I11" s="155">
        <v>13000</v>
      </c>
      <c r="J11" s="155">
        <f t="shared" si="0"/>
        <v>0</v>
      </c>
      <c r="K11" s="156" t="s">
        <v>623</v>
      </c>
      <c r="L11" s="17"/>
      <c r="M11" s="17"/>
      <c r="N11" s="17"/>
      <c r="O11" s="17"/>
    </row>
    <row r="12" spans="1:19">
      <c r="A12" s="155" t="s">
        <v>632</v>
      </c>
      <c r="B12" s="155"/>
      <c r="C12" s="155"/>
      <c r="D12" s="155"/>
      <c r="E12" s="155" t="s">
        <v>631</v>
      </c>
      <c r="F12" s="155">
        <v>11</v>
      </c>
      <c r="G12" s="155">
        <v>21000</v>
      </c>
      <c r="H12" s="155">
        <v>0</v>
      </c>
      <c r="I12" s="155">
        <v>21000</v>
      </c>
      <c r="J12" s="155">
        <f t="shared" si="0"/>
        <v>0</v>
      </c>
      <c r="K12" s="156" t="s">
        <v>623</v>
      </c>
      <c r="L12" s="17"/>
      <c r="M12" s="17"/>
      <c r="N12" s="17"/>
      <c r="O12" s="17"/>
    </row>
    <row r="13" spans="1:19">
      <c r="A13" s="155" t="s">
        <v>634</v>
      </c>
      <c r="B13" s="155"/>
      <c r="C13" s="155"/>
      <c r="D13" s="155"/>
      <c r="E13" s="155" t="s">
        <v>633</v>
      </c>
      <c r="F13" s="155">
        <v>11</v>
      </c>
      <c r="G13" s="155">
        <v>12000</v>
      </c>
      <c r="H13" s="155">
        <v>0</v>
      </c>
      <c r="I13" s="155">
        <v>12000</v>
      </c>
      <c r="J13" s="155">
        <f t="shared" si="0"/>
        <v>0</v>
      </c>
      <c r="K13" s="156" t="s">
        <v>623</v>
      </c>
      <c r="L13" s="17"/>
      <c r="M13" s="17"/>
      <c r="N13" s="17"/>
      <c r="O13" s="17"/>
    </row>
    <row r="14" spans="1:19">
      <c r="A14" s="17" t="s">
        <v>636</v>
      </c>
      <c r="B14" s="17"/>
      <c r="C14" s="17"/>
      <c r="D14" s="17"/>
      <c r="E14" s="17" t="s">
        <v>64</v>
      </c>
      <c r="F14" s="17">
        <v>10</v>
      </c>
      <c r="G14" s="17">
        <v>15000</v>
      </c>
      <c r="H14" s="17">
        <v>16100</v>
      </c>
      <c r="I14" s="17">
        <v>31100</v>
      </c>
      <c r="J14" s="17">
        <f t="shared" si="0"/>
        <v>0</v>
      </c>
      <c r="K14" s="17" t="s">
        <v>635</v>
      </c>
      <c r="L14" s="17">
        <v>0</v>
      </c>
      <c r="M14" s="17">
        <v>0</v>
      </c>
      <c r="N14" s="17">
        <f>L14-M14-O14</f>
        <v>0</v>
      </c>
      <c r="O14" s="17">
        <v>0</v>
      </c>
    </row>
    <row r="15" spans="1:19">
      <c r="A15" s="107" t="s">
        <v>637</v>
      </c>
      <c r="B15" s="107"/>
      <c r="C15" s="107"/>
      <c r="D15" s="107"/>
      <c r="E15" s="107" t="s">
        <v>84</v>
      </c>
      <c r="F15" s="107">
        <v>10</v>
      </c>
      <c r="G15" s="107">
        <v>7000</v>
      </c>
      <c r="H15" s="107">
        <v>17000</v>
      </c>
      <c r="I15" s="107">
        <v>14000</v>
      </c>
      <c r="J15" s="107">
        <f t="shared" si="0"/>
        <v>10000</v>
      </c>
      <c r="K15" s="107"/>
      <c r="L15" s="107">
        <v>0</v>
      </c>
      <c r="M15" s="107">
        <v>0</v>
      </c>
      <c r="N15" s="107">
        <f t="shared" ref="N15:N78" si="1">L15-M15-O15</f>
        <v>0</v>
      </c>
      <c r="O15" s="107">
        <v>0</v>
      </c>
      <c r="P15" s="168"/>
      <c r="Q15" s="22">
        <v>7000</v>
      </c>
    </row>
    <row r="16" spans="1:19">
      <c r="A16" s="107"/>
      <c r="B16" s="107"/>
      <c r="C16" s="107"/>
      <c r="D16" s="107"/>
      <c r="E16" s="107" t="s">
        <v>85</v>
      </c>
      <c r="F16" s="107"/>
      <c r="G16" s="107">
        <v>8000</v>
      </c>
      <c r="H16" s="107">
        <v>0</v>
      </c>
      <c r="I16" s="107">
        <v>8000</v>
      </c>
      <c r="J16" s="107">
        <f t="shared" si="0"/>
        <v>0</v>
      </c>
      <c r="K16" s="167" t="s">
        <v>612</v>
      </c>
      <c r="L16" s="107">
        <v>0</v>
      </c>
      <c r="M16" s="107">
        <v>0</v>
      </c>
      <c r="N16" s="107">
        <f t="shared" si="1"/>
        <v>0</v>
      </c>
      <c r="O16" s="107">
        <v>0</v>
      </c>
    </row>
    <row r="17" spans="1:16">
      <c r="A17" s="17" t="s">
        <v>638</v>
      </c>
      <c r="B17" s="17"/>
      <c r="C17" s="17"/>
      <c r="D17" s="17"/>
      <c r="E17" s="17" t="s">
        <v>86</v>
      </c>
      <c r="F17" s="17">
        <v>10</v>
      </c>
      <c r="G17" s="17">
        <v>0</v>
      </c>
      <c r="H17" s="17">
        <v>0</v>
      </c>
      <c r="I17" s="17">
        <v>0</v>
      </c>
      <c r="J17" s="17">
        <f t="shared" si="0"/>
        <v>0</v>
      </c>
      <c r="K17" s="17"/>
      <c r="L17" s="17">
        <v>0</v>
      </c>
      <c r="M17" s="17">
        <v>0</v>
      </c>
      <c r="N17" s="17">
        <f t="shared" si="1"/>
        <v>0</v>
      </c>
      <c r="O17" s="17">
        <v>0</v>
      </c>
    </row>
    <row r="18" spans="1:16">
      <c r="A18" s="107" t="s">
        <v>640</v>
      </c>
      <c r="B18" s="107"/>
      <c r="C18" s="107"/>
      <c r="D18" s="107"/>
      <c r="E18" s="107" t="s">
        <v>88</v>
      </c>
      <c r="F18" s="107">
        <v>10</v>
      </c>
      <c r="G18" s="107">
        <v>8000</v>
      </c>
      <c r="H18" s="107">
        <v>18000</v>
      </c>
      <c r="I18" s="107">
        <v>13000</v>
      </c>
      <c r="J18" s="107">
        <f t="shared" si="0"/>
        <v>13000</v>
      </c>
      <c r="K18" s="107"/>
      <c r="L18" s="107">
        <v>1200</v>
      </c>
      <c r="M18" s="107">
        <v>400</v>
      </c>
      <c r="N18" s="107">
        <f t="shared" si="1"/>
        <v>800</v>
      </c>
      <c r="O18" s="107">
        <v>0</v>
      </c>
    </row>
    <row r="19" spans="1:16">
      <c r="A19" s="17" t="s">
        <v>642</v>
      </c>
      <c r="B19" s="17"/>
      <c r="C19" s="17"/>
      <c r="D19" s="17"/>
      <c r="E19" s="17" t="s">
        <v>641</v>
      </c>
      <c r="F19" s="17">
        <v>10</v>
      </c>
      <c r="G19" s="17">
        <v>5000</v>
      </c>
      <c r="H19" s="17">
        <v>13000</v>
      </c>
      <c r="I19" s="17"/>
      <c r="J19" s="17">
        <f t="shared" si="0"/>
        <v>18000</v>
      </c>
      <c r="K19" s="17"/>
      <c r="L19" s="17">
        <v>0</v>
      </c>
      <c r="M19" s="17">
        <v>0</v>
      </c>
      <c r="N19" s="17">
        <f t="shared" si="1"/>
        <v>0</v>
      </c>
      <c r="O19" s="17">
        <v>0</v>
      </c>
      <c r="P19" t="s">
        <v>993</v>
      </c>
    </row>
    <row r="20" spans="1:16">
      <c r="A20" s="107" t="s">
        <v>644</v>
      </c>
      <c r="B20" s="107"/>
      <c r="C20" s="107"/>
      <c r="D20" s="107"/>
      <c r="E20" s="107" t="s">
        <v>643</v>
      </c>
      <c r="F20" s="107">
        <v>10</v>
      </c>
      <c r="G20" s="107">
        <v>15000</v>
      </c>
      <c r="H20" s="107">
        <v>0</v>
      </c>
      <c r="I20" s="107">
        <v>15000</v>
      </c>
      <c r="J20" s="107">
        <f t="shared" si="0"/>
        <v>0</v>
      </c>
      <c r="K20" s="167" t="s">
        <v>612</v>
      </c>
      <c r="L20" s="107">
        <v>0</v>
      </c>
      <c r="M20" s="107">
        <v>0</v>
      </c>
      <c r="N20" s="107">
        <f t="shared" si="1"/>
        <v>0</v>
      </c>
      <c r="O20" s="107">
        <v>0</v>
      </c>
    </row>
    <row r="21" spans="1:16">
      <c r="A21" s="17" t="s">
        <v>646</v>
      </c>
      <c r="B21" s="17"/>
      <c r="C21" s="17"/>
      <c r="D21" s="17"/>
      <c r="E21" s="17" t="s">
        <v>645</v>
      </c>
      <c r="F21" s="17">
        <v>10</v>
      </c>
      <c r="G21" s="17">
        <v>11000</v>
      </c>
      <c r="H21" s="17">
        <v>17500</v>
      </c>
      <c r="I21" s="17">
        <v>28500</v>
      </c>
      <c r="J21" s="17">
        <f t="shared" si="0"/>
        <v>0</v>
      </c>
      <c r="K21" s="17"/>
      <c r="L21" s="17">
        <v>2500</v>
      </c>
      <c r="M21" s="17">
        <v>2500</v>
      </c>
      <c r="N21" s="17">
        <f t="shared" si="1"/>
        <v>0</v>
      </c>
      <c r="O21" s="17">
        <v>0</v>
      </c>
    </row>
    <row r="22" spans="1:16">
      <c r="A22" s="107" t="s">
        <v>647</v>
      </c>
      <c r="B22" s="107"/>
      <c r="C22" s="107"/>
      <c r="D22" s="107"/>
      <c r="E22" s="107" t="s">
        <v>648</v>
      </c>
      <c r="F22" s="107">
        <v>10</v>
      </c>
      <c r="G22" s="107">
        <v>24000</v>
      </c>
      <c r="H22" s="107">
        <v>25000</v>
      </c>
      <c r="I22" s="107">
        <v>24000</v>
      </c>
      <c r="J22" s="107">
        <f t="shared" si="0"/>
        <v>25000</v>
      </c>
      <c r="K22" s="107"/>
      <c r="L22" s="107">
        <v>3500</v>
      </c>
      <c r="M22" s="107">
        <v>2500</v>
      </c>
      <c r="N22" s="107">
        <f t="shared" si="1"/>
        <v>0</v>
      </c>
      <c r="O22" s="107">
        <v>1000</v>
      </c>
    </row>
    <row r="23" spans="1:16">
      <c r="A23" s="107"/>
      <c r="B23" s="107"/>
      <c r="C23" s="107"/>
      <c r="D23" s="107"/>
      <c r="E23" s="107" t="s">
        <v>649</v>
      </c>
      <c r="F23" s="107">
        <v>8</v>
      </c>
      <c r="G23" s="107"/>
      <c r="H23" s="107"/>
      <c r="I23" s="107"/>
      <c r="J23" s="107">
        <f t="shared" si="0"/>
        <v>0</v>
      </c>
      <c r="K23" s="107"/>
      <c r="L23" s="107">
        <v>3500</v>
      </c>
      <c r="M23" s="107">
        <v>2500</v>
      </c>
      <c r="N23" s="107">
        <f t="shared" si="1"/>
        <v>0</v>
      </c>
      <c r="O23" s="107">
        <v>1000</v>
      </c>
    </row>
    <row r="24" spans="1:16">
      <c r="A24" s="107"/>
      <c r="B24" s="107"/>
      <c r="C24" s="107"/>
      <c r="D24" s="107"/>
      <c r="E24" s="107" t="s">
        <v>650</v>
      </c>
      <c r="F24" s="107">
        <v>6</v>
      </c>
      <c r="G24" s="107"/>
      <c r="H24" s="107"/>
      <c r="I24" s="107"/>
      <c r="J24" s="107">
        <f t="shared" si="0"/>
        <v>0</v>
      </c>
      <c r="K24" s="107"/>
      <c r="L24" s="107">
        <v>0</v>
      </c>
      <c r="M24" s="107">
        <v>0</v>
      </c>
      <c r="N24" s="107">
        <f t="shared" si="1"/>
        <v>0</v>
      </c>
      <c r="O24" s="107">
        <v>0</v>
      </c>
    </row>
    <row r="25" spans="1:16">
      <c r="A25" s="107"/>
      <c r="B25" s="107"/>
      <c r="C25" s="107"/>
      <c r="D25" s="107"/>
      <c r="E25" s="107" t="s">
        <v>651</v>
      </c>
      <c r="F25" s="107" t="s">
        <v>102</v>
      </c>
      <c r="G25" s="107"/>
      <c r="H25" s="107"/>
      <c r="I25" s="107"/>
      <c r="J25" s="107">
        <f t="shared" si="0"/>
        <v>0</v>
      </c>
      <c r="K25" s="107"/>
      <c r="L25" s="107">
        <v>0</v>
      </c>
      <c r="M25" s="107">
        <v>0</v>
      </c>
      <c r="N25" s="107">
        <f t="shared" si="1"/>
        <v>0</v>
      </c>
      <c r="O25" s="107">
        <v>0</v>
      </c>
    </row>
    <row r="26" spans="1:16">
      <c r="A26" s="17" t="s">
        <v>626</v>
      </c>
      <c r="B26" s="17"/>
      <c r="C26" s="17"/>
      <c r="D26" s="17"/>
      <c r="E26" s="17" t="s">
        <v>652</v>
      </c>
      <c r="F26" s="17">
        <v>10</v>
      </c>
      <c r="G26" s="17">
        <v>35000</v>
      </c>
      <c r="H26" s="17">
        <v>30000</v>
      </c>
      <c r="I26" s="17">
        <v>35000</v>
      </c>
      <c r="J26" s="17">
        <f t="shared" si="0"/>
        <v>30000</v>
      </c>
      <c r="K26" s="17"/>
      <c r="L26" s="17">
        <v>3000</v>
      </c>
      <c r="M26" s="17">
        <v>3000</v>
      </c>
      <c r="N26" s="17">
        <f t="shared" si="1"/>
        <v>0</v>
      </c>
      <c r="O26" s="17">
        <v>0</v>
      </c>
    </row>
    <row r="27" spans="1:16">
      <c r="A27" s="17"/>
      <c r="B27" s="17"/>
      <c r="C27" s="17"/>
      <c r="D27" s="17"/>
      <c r="E27" s="17" t="s">
        <v>653</v>
      </c>
      <c r="F27" s="17">
        <v>7</v>
      </c>
      <c r="G27" s="17"/>
      <c r="H27" s="17"/>
      <c r="I27" s="17"/>
      <c r="J27" s="17">
        <f t="shared" si="0"/>
        <v>0</v>
      </c>
      <c r="K27" s="17"/>
      <c r="L27" s="17">
        <v>0</v>
      </c>
      <c r="M27" s="17">
        <v>0</v>
      </c>
      <c r="N27" s="17">
        <f t="shared" si="1"/>
        <v>0</v>
      </c>
      <c r="O27" s="17">
        <v>0</v>
      </c>
    </row>
    <row r="28" spans="1:16">
      <c r="A28" s="17"/>
      <c r="B28" s="17"/>
      <c r="C28" s="17"/>
      <c r="D28" s="17"/>
      <c r="E28" s="17" t="s">
        <v>654</v>
      </c>
      <c r="F28" s="17">
        <v>10</v>
      </c>
      <c r="G28" s="17"/>
      <c r="H28" s="17"/>
      <c r="I28" s="17"/>
      <c r="J28" s="17">
        <f t="shared" si="0"/>
        <v>0</v>
      </c>
      <c r="K28" s="17"/>
      <c r="L28" s="17">
        <v>3000</v>
      </c>
      <c r="M28" s="17">
        <v>3000</v>
      </c>
      <c r="N28" s="17">
        <f t="shared" si="1"/>
        <v>0</v>
      </c>
      <c r="O28" s="17">
        <v>0</v>
      </c>
    </row>
    <row r="29" spans="1:16">
      <c r="A29" s="107" t="s">
        <v>655</v>
      </c>
      <c r="B29" s="107"/>
      <c r="C29" s="107"/>
      <c r="D29" s="107"/>
      <c r="E29" s="107" t="s">
        <v>89</v>
      </c>
      <c r="F29" s="107">
        <v>10</v>
      </c>
      <c r="G29" s="107">
        <v>15000</v>
      </c>
      <c r="H29" s="107">
        <v>10000</v>
      </c>
      <c r="I29" s="107">
        <v>14000</v>
      </c>
      <c r="J29" s="107">
        <f t="shared" si="0"/>
        <v>11000</v>
      </c>
      <c r="K29" s="107"/>
      <c r="L29" s="107">
        <v>0</v>
      </c>
      <c r="M29" s="107">
        <v>0</v>
      </c>
      <c r="N29" s="107">
        <f t="shared" si="1"/>
        <v>0</v>
      </c>
      <c r="O29" s="107">
        <v>0</v>
      </c>
    </row>
    <row r="30" spans="1:16">
      <c r="A30" s="17" t="s">
        <v>656</v>
      </c>
      <c r="B30" s="17"/>
      <c r="C30" s="17"/>
      <c r="D30" s="17"/>
      <c r="E30" s="17" t="s">
        <v>90</v>
      </c>
      <c r="F30" s="17">
        <v>10</v>
      </c>
      <c r="G30" s="17">
        <v>13000</v>
      </c>
      <c r="H30" s="17">
        <v>25000</v>
      </c>
      <c r="I30" s="17">
        <v>13000</v>
      </c>
      <c r="J30" s="17">
        <f t="shared" si="0"/>
        <v>25000</v>
      </c>
      <c r="K30" s="17"/>
      <c r="L30" s="17">
        <v>0</v>
      </c>
      <c r="M30" s="17">
        <v>0</v>
      </c>
      <c r="N30" s="17">
        <f t="shared" si="1"/>
        <v>0</v>
      </c>
      <c r="O30" s="17">
        <v>0</v>
      </c>
    </row>
    <row r="31" spans="1:16">
      <c r="A31" s="17"/>
      <c r="B31" s="17"/>
      <c r="C31" s="17"/>
      <c r="D31" s="17"/>
      <c r="E31" s="17" t="s">
        <v>91</v>
      </c>
      <c r="F31" s="17">
        <v>6</v>
      </c>
      <c r="G31" s="17">
        <v>10000</v>
      </c>
      <c r="H31" s="17">
        <v>0</v>
      </c>
      <c r="I31" s="17">
        <v>10000</v>
      </c>
      <c r="J31" s="17">
        <f t="shared" si="0"/>
        <v>0</v>
      </c>
      <c r="K31" s="33" t="s">
        <v>612</v>
      </c>
      <c r="L31" s="17">
        <v>0</v>
      </c>
      <c r="M31" s="17">
        <v>0</v>
      </c>
      <c r="N31" s="17">
        <f t="shared" si="1"/>
        <v>0</v>
      </c>
      <c r="O31" s="17">
        <v>0</v>
      </c>
    </row>
    <row r="32" spans="1:16">
      <c r="A32" s="107" t="s">
        <v>628</v>
      </c>
      <c r="B32" s="107"/>
      <c r="C32" s="107"/>
      <c r="D32" s="107"/>
      <c r="E32" s="107" t="s">
        <v>78</v>
      </c>
      <c r="F32" s="107">
        <v>10</v>
      </c>
      <c r="G32" s="107">
        <v>5000</v>
      </c>
      <c r="H32" s="107">
        <v>15000</v>
      </c>
      <c r="I32" s="107">
        <v>10000</v>
      </c>
      <c r="J32" s="107">
        <f t="shared" si="0"/>
        <v>10000</v>
      </c>
      <c r="K32" s="107"/>
      <c r="L32" s="107">
        <v>3500</v>
      </c>
      <c r="M32" s="107">
        <v>2500</v>
      </c>
      <c r="N32" s="107">
        <f t="shared" si="1"/>
        <v>1000</v>
      </c>
      <c r="O32" s="107">
        <v>0</v>
      </c>
    </row>
    <row r="33" spans="1:17">
      <c r="A33" s="17" t="s">
        <v>659</v>
      </c>
      <c r="B33" s="17"/>
      <c r="C33" s="17"/>
      <c r="D33" s="17"/>
      <c r="E33" s="17" t="s">
        <v>657</v>
      </c>
      <c r="F33" s="17">
        <v>10</v>
      </c>
      <c r="G33" s="17">
        <v>12000</v>
      </c>
      <c r="H33" s="17">
        <v>0</v>
      </c>
      <c r="I33" s="17">
        <v>12000</v>
      </c>
      <c r="J33" s="17">
        <f t="shared" si="0"/>
        <v>0</v>
      </c>
      <c r="K33" s="33" t="s">
        <v>612</v>
      </c>
      <c r="L33" s="17">
        <v>0</v>
      </c>
      <c r="M33" s="17">
        <v>0</v>
      </c>
      <c r="N33" s="17">
        <f t="shared" si="1"/>
        <v>0</v>
      </c>
      <c r="O33" s="17">
        <v>0</v>
      </c>
    </row>
    <row r="34" spans="1:17">
      <c r="A34" s="17"/>
      <c r="B34" s="17"/>
      <c r="C34" s="17"/>
      <c r="D34" s="17"/>
      <c r="E34" s="17" t="s">
        <v>658</v>
      </c>
      <c r="F34" s="17">
        <v>2</v>
      </c>
      <c r="G34" s="17">
        <v>5000</v>
      </c>
      <c r="H34" s="17">
        <v>0</v>
      </c>
      <c r="I34" s="17">
        <v>5000</v>
      </c>
      <c r="J34" s="17">
        <f t="shared" si="0"/>
        <v>0</v>
      </c>
      <c r="K34" s="33" t="s">
        <v>612</v>
      </c>
      <c r="L34" s="17">
        <v>0</v>
      </c>
      <c r="M34" s="17">
        <v>0</v>
      </c>
      <c r="N34" s="17">
        <f t="shared" si="1"/>
        <v>0</v>
      </c>
      <c r="O34" s="17">
        <v>0</v>
      </c>
    </row>
    <row r="35" spans="1:17">
      <c r="A35" s="107" t="s">
        <v>661</v>
      </c>
      <c r="B35" s="107"/>
      <c r="C35" s="107"/>
      <c r="D35" s="107"/>
      <c r="E35" s="107" t="s">
        <v>660</v>
      </c>
      <c r="F35" s="107">
        <v>10</v>
      </c>
      <c r="G35" s="107">
        <v>5000</v>
      </c>
      <c r="H35" s="107">
        <v>20000</v>
      </c>
      <c r="I35" s="107">
        <v>10000</v>
      </c>
      <c r="J35" s="107">
        <f t="shared" si="0"/>
        <v>15000</v>
      </c>
      <c r="K35" s="107"/>
      <c r="L35" s="107">
        <v>0</v>
      </c>
      <c r="M35" s="107">
        <v>0</v>
      </c>
      <c r="N35" s="107">
        <f t="shared" si="1"/>
        <v>0</v>
      </c>
      <c r="O35" s="107">
        <v>0</v>
      </c>
    </row>
    <row r="36" spans="1:17">
      <c r="A36" s="17" t="s">
        <v>665</v>
      </c>
      <c r="B36" s="17"/>
      <c r="C36" s="17"/>
      <c r="D36" s="17"/>
      <c r="E36" s="17" t="s">
        <v>662</v>
      </c>
      <c r="F36" s="17">
        <v>10</v>
      </c>
      <c r="G36" s="17">
        <v>0</v>
      </c>
      <c r="H36" s="17"/>
      <c r="I36" s="17"/>
      <c r="J36" s="17">
        <f t="shared" si="0"/>
        <v>0</v>
      </c>
      <c r="K36" s="17"/>
      <c r="L36" s="17">
        <v>3500</v>
      </c>
      <c r="M36" s="17">
        <v>2500</v>
      </c>
      <c r="N36" s="17">
        <f t="shared" si="1"/>
        <v>1000</v>
      </c>
      <c r="O36" s="17">
        <v>0</v>
      </c>
    </row>
    <row r="37" spans="1:17">
      <c r="A37" s="17"/>
      <c r="B37" s="17"/>
      <c r="C37" s="17"/>
      <c r="D37" s="17"/>
      <c r="E37" s="17" t="s">
        <v>105</v>
      </c>
      <c r="F37" s="17">
        <v>9</v>
      </c>
      <c r="G37" s="17">
        <v>10000</v>
      </c>
      <c r="H37" s="17">
        <v>33500</v>
      </c>
      <c r="I37" s="17">
        <v>43500</v>
      </c>
      <c r="J37" s="17">
        <f t="shared" si="0"/>
        <v>0</v>
      </c>
      <c r="K37" s="17" t="s">
        <v>664</v>
      </c>
      <c r="L37" s="17">
        <v>3500</v>
      </c>
      <c r="M37" s="17">
        <v>2500</v>
      </c>
      <c r="N37" s="17">
        <f t="shared" si="1"/>
        <v>1000</v>
      </c>
      <c r="O37" s="17">
        <v>0</v>
      </c>
    </row>
    <row r="38" spans="1:17">
      <c r="A38" s="107" t="s">
        <v>667</v>
      </c>
      <c r="B38" s="107"/>
      <c r="C38" s="107"/>
      <c r="D38" s="107"/>
      <c r="E38" s="107" t="s">
        <v>666</v>
      </c>
      <c r="F38" s="107">
        <v>10</v>
      </c>
      <c r="G38" s="107">
        <v>0</v>
      </c>
      <c r="H38" s="107">
        <v>15000</v>
      </c>
      <c r="I38" s="107">
        <v>15000</v>
      </c>
      <c r="J38" s="107">
        <f t="shared" si="0"/>
        <v>0</v>
      </c>
      <c r="K38" s="107" t="s">
        <v>635</v>
      </c>
      <c r="L38" s="107">
        <v>1500</v>
      </c>
      <c r="M38" s="107">
        <v>1500</v>
      </c>
      <c r="N38" s="107">
        <f t="shared" si="1"/>
        <v>0</v>
      </c>
      <c r="O38" s="107">
        <v>0</v>
      </c>
    </row>
    <row r="39" spans="1:17">
      <c r="A39" s="17" t="s">
        <v>670</v>
      </c>
      <c r="B39" s="17"/>
      <c r="C39" s="17"/>
      <c r="D39" s="17"/>
      <c r="E39" s="17" t="s">
        <v>668</v>
      </c>
      <c r="F39" s="17">
        <v>10</v>
      </c>
      <c r="G39" s="17">
        <v>0</v>
      </c>
      <c r="H39" s="17">
        <v>15000</v>
      </c>
      <c r="I39" s="17">
        <v>10000</v>
      </c>
      <c r="J39" s="17">
        <f t="shared" si="0"/>
        <v>5000</v>
      </c>
      <c r="K39" s="17"/>
      <c r="L39" s="17">
        <v>2900</v>
      </c>
      <c r="M39" s="17">
        <v>2500</v>
      </c>
      <c r="N39" s="17">
        <f t="shared" si="1"/>
        <v>400</v>
      </c>
      <c r="O39" s="17">
        <v>0</v>
      </c>
    </row>
    <row r="40" spans="1:17">
      <c r="A40" s="17"/>
      <c r="B40" s="17"/>
      <c r="C40" s="17"/>
      <c r="D40" s="17"/>
      <c r="E40" s="17" t="s">
        <v>669</v>
      </c>
      <c r="F40" s="17">
        <v>7</v>
      </c>
      <c r="G40" s="17">
        <v>7000</v>
      </c>
      <c r="H40" s="17">
        <v>10000</v>
      </c>
      <c r="I40" s="17">
        <v>17000</v>
      </c>
      <c r="J40" s="17">
        <f t="shared" si="0"/>
        <v>0</v>
      </c>
      <c r="K40" s="17"/>
      <c r="L40" s="17">
        <v>2700</v>
      </c>
      <c r="M40" s="17">
        <v>2300</v>
      </c>
      <c r="N40" s="17">
        <f t="shared" si="1"/>
        <v>400</v>
      </c>
      <c r="O40" s="17">
        <v>0</v>
      </c>
    </row>
    <row r="41" spans="1:17">
      <c r="A41" s="107" t="s">
        <v>672</v>
      </c>
      <c r="B41" s="107"/>
      <c r="C41" s="107"/>
      <c r="D41" s="107"/>
      <c r="E41" s="107" t="s">
        <v>671</v>
      </c>
      <c r="F41" s="107">
        <v>10</v>
      </c>
      <c r="G41" s="107">
        <v>0</v>
      </c>
      <c r="H41" s="107">
        <v>14000</v>
      </c>
      <c r="I41" s="107">
        <v>14000</v>
      </c>
      <c r="J41" s="107">
        <f t="shared" si="0"/>
        <v>0</v>
      </c>
      <c r="K41" s="107"/>
      <c r="L41" s="107">
        <v>3000</v>
      </c>
      <c r="M41" s="107">
        <v>3000</v>
      </c>
      <c r="N41" s="107">
        <f t="shared" si="1"/>
        <v>0</v>
      </c>
      <c r="O41" s="107">
        <v>0</v>
      </c>
      <c r="Q41" s="22">
        <v>7000</v>
      </c>
    </row>
    <row r="42" spans="1:17">
      <c r="A42" s="17" t="s">
        <v>674</v>
      </c>
      <c r="B42" s="17"/>
      <c r="C42" s="17"/>
      <c r="D42" s="17"/>
      <c r="E42" s="17" t="s">
        <v>673</v>
      </c>
      <c r="F42" s="17">
        <v>10</v>
      </c>
      <c r="G42" s="17">
        <v>0</v>
      </c>
      <c r="H42" s="17">
        <v>15000</v>
      </c>
      <c r="I42" s="17">
        <v>7000</v>
      </c>
      <c r="J42" s="17">
        <f t="shared" si="0"/>
        <v>8000</v>
      </c>
      <c r="K42" s="17"/>
      <c r="L42" s="17">
        <v>0</v>
      </c>
      <c r="M42" s="17">
        <v>0</v>
      </c>
      <c r="N42" s="17">
        <f t="shared" si="1"/>
        <v>0</v>
      </c>
      <c r="O42" s="17">
        <v>0</v>
      </c>
    </row>
    <row r="43" spans="1:17">
      <c r="A43" s="107" t="s">
        <v>675</v>
      </c>
      <c r="B43" s="107"/>
      <c r="C43" s="107"/>
      <c r="D43" s="107"/>
      <c r="E43" s="107" t="s">
        <v>99</v>
      </c>
      <c r="F43" s="107">
        <v>9</v>
      </c>
      <c r="G43" s="107">
        <v>23400</v>
      </c>
      <c r="H43" s="107">
        <v>30000</v>
      </c>
      <c r="I43" s="107">
        <v>23400</v>
      </c>
      <c r="J43" s="107">
        <f t="shared" si="0"/>
        <v>30000</v>
      </c>
      <c r="K43" s="107" t="s">
        <v>663</v>
      </c>
      <c r="L43" s="107">
        <v>4200</v>
      </c>
      <c r="M43" s="107">
        <v>4200</v>
      </c>
      <c r="N43" s="107">
        <f t="shared" si="1"/>
        <v>0</v>
      </c>
      <c r="O43" s="107">
        <v>0</v>
      </c>
    </row>
    <row r="44" spans="1:17">
      <c r="A44" s="107"/>
      <c r="B44" s="107"/>
      <c r="C44" s="107"/>
      <c r="D44" s="107"/>
      <c r="E44" s="107" t="s">
        <v>100</v>
      </c>
      <c r="F44" s="107">
        <v>9</v>
      </c>
      <c r="G44" s="107"/>
      <c r="H44" s="107"/>
      <c r="I44" s="107"/>
      <c r="J44" s="107">
        <f t="shared" si="0"/>
        <v>0</v>
      </c>
      <c r="K44" s="107"/>
      <c r="L44" s="107">
        <v>4200</v>
      </c>
      <c r="M44" s="107">
        <v>4200</v>
      </c>
      <c r="N44" s="107">
        <f t="shared" si="1"/>
        <v>0</v>
      </c>
      <c r="O44" s="107">
        <v>0</v>
      </c>
    </row>
    <row r="45" spans="1:17">
      <c r="A45" s="107"/>
      <c r="B45" s="107"/>
      <c r="C45" s="107"/>
      <c r="D45" s="107"/>
      <c r="E45" s="107" t="s">
        <v>101</v>
      </c>
      <c r="F45" s="107">
        <v>2</v>
      </c>
      <c r="G45" s="107"/>
      <c r="H45" s="107"/>
      <c r="I45" s="107"/>
      <c r="J45" s="107">
        <f t="shared" si="0"/>
        <v>0</v>
      </c>
      <c r="K45" s="107"/>
      <c r="L45" s="107">
        <v>600</v>
      </c>
      <c r="M45" s="107">
        <v>600</v>
      </c>
      <c r="N45" s="107">
        <f t="shared" si="1"/>
        <v>0</v>
      </c>
      <c r="O45" s="107">
        <v>0</v>
      </c>
      <c r="P45" t="s">
        <v>993</v>
      </c>
    </row>
    <row r="46" spans="1:17">
      <c r="A46" s="33" t="s">
        <v>677</v>
      </c>
      <c r="B46" s="33"/>
      <c r="C46" s="33"/>
      <c r="D46" s="33"/>
      <c r="E46" s="17" t="s">
        <v>676</v>
      </c>
      <c r="F46" s="33">
        <v>9</v>
      </c>
      <c r="G46" s="33">
        <v>7500</v>
      </c>
      <c r="H46" s="33">
        <v>20000</v>
      </c>
      <c r="I46" s="33">
        <v>7500</v>
      </c>
      <c r="J46" s="33">
        <f t="shared" si="0"/>
        <v>20000</v>
      </c>
      <c r="K46" s="33" t="s">
        <v>663</v>
      </c>
      <c r="L46" s="17">
        <v>4000</v>
      </c>
      <c r="M46" s="17">
        <v>3000</v>
      </c>
      <c r="N46" s="17">
        <f t="shared" si="1"/>
        <v>0</v>
      </c>
      <c r="O46" s="17">
        <v>1000</v>
      </c>
    </row>
    <row r="47" spans="1:17">
      <c r="A47" s="33"/>
      <c r="B47" s="33"/>
      <c r="C47" s="33"/>
      <c r="D47" s="33"/>
      <c r="E47" s="17" t="s">
        <v>678</v>
      </c>
      <c r="F47" s="33">
        <v>8</v>
      </c>
      <c r="G47" s="33"/>
      <c r="H47" s="33"/>
      <c r="I47" s="33"/>
      <c r="J47" s="33">
        <f t="shared" si="0"/>
        <v>0</v>
      </c>
      <c r="K47" s="33"/>
      <c r="L47" s="17">
        <v>4000</v>
      </c>
      <c r="M47" s="17">
        <v>3000</v>
      </c>
      <c r="N47" s="17">
        <f t="shared" si="1"/>
        <v>0</v>
      </c>
      <c r="O47" s="17">
        <v>1000</v>
      </c>
    </row>
    <row r="48" spans="1:17">
      <c r="A48" s="107" t="s">
        <v>681</v>
      </c>
      <c r="B48" s="107"/>
      <c r="C48" s="107"/>
      <c r="D48" s="107"/>
      <c r="E48" s="107" t="s">
        <v>732</v>
      </c>
      <c r="F48" s="107">
        <v>9</v>
      </c>
      <c r="G48" s="107">
        <v>24000</v>
      </c>
      <c r="H48" s="107">
        <v>30500</v>
      </c>
      <c r="I48" s="107">
        <v>36000</v>
      </c>
      <c r="J48" s="107">
        <f t="shared" si="0"/>
        <v>18500</v>
      </c>
      <c r="K48" s="107" t="s">
        <v>663</v>
      </c>
      <c r="L48" s="107">
        <v>3400</v>
      </c>
      <c r="M48" s="107">
        <v>3400</v>
      </c>
      <c r="N48" s="107">
        <f t="shared" si="1"/>
        <v>0</v>
      </c>
      <c r="O48" s="107">
        <v>0</v>
      </c>
      <c r="Q48" s="166">
        <v>6500</v>
      </c>
    </row>
    <row r="49" spans="1:17">
      <c r="A49" s="107"/>
      <c r="B49" s="107"/>
      <c r="C49" s="107"/>
      <c r="D49" s="107"/>
      <c r="E49" s="107" t="s">
        <v>679</v>
      </c>
      <c r="F49" s="107">
        <v>7</v>
      </c>
      <c r="G49" s="107"/>
      <c r="H49" s="107"/>
      <c r="I49" s="107"/>
      <c r="J49" s="107">
        <f t="shared" si="0"/>
        <v>0</v>
      </c>
      <c r="K49" s="107"/>
      <c r="L49" s="107">
        <v>3400</v>
      </c>
      <c r="M49" s="107">
        <v>3400</v>
      </c>
      <c r="N49" s="107">
        <f t="shared" si="1"/>
        <v>0</v>
      </c>
      <c r="O49" s="107">
        <v>0</v>
      </c>
    </row>
    <row r="50" spans="1:17">
      <c r="A50" s="107"/>
      <c r="B50" s="107"/>
      <c r="C50" s="107"/>
      <c r="D50" s="107"/>
      <c r="E50" s="107" t="s">
        <v>680</v>
      </c>
      <c r="F50" s="107">
        <v>2</v>
      </c>
      <c r="G50" s="107"/>
      <c r="H50" s="107"/>
      <c r="I50" s="107"/>
      <c r="J50" s="107">
        <f t="shared" si="0"/>
        <v>0</v>
      </c>
      <c r="K50" s="107"/>
      <c r="L50" s="107">
        <v>3000</v>
      </c>
      <c r="M50" s="107">
        <v>3000</v>
      </c>
      <c r="N50" s="107">
        <f t="shared" si="1"/>
        <v>0</v>
      </c>
      <c r="O50" s="107">
        <v>0</v>
      </c>
    </row>
    <row r="51" spans="1:17">
      <c r="A51" s="17" t="s">
        <v>682</v>
      </c>
      <c r="B51" s="17"/>
      <c r="C51" s="17"/>
      <c r="D51" s="17"/>
      <c r="E51" s="17" t="s">
        <v>109</v>
      </c>
      <c r="F51" s="17">
        <v>9</v>
      </c>
      <c r="G51" s="17">
        <v>12000</v>
      </c>
      <c r="H51" s="17">
        <v>18000</v>
      </c>
      <c r="I51" s="17">
        <v>20000</v>
      </c>
      <c r="J51" s="17">
        <f t="shared" si="0"/>
        <v>10000</v>
      </c>
      <c r="K51" s="17"/>
      <c r="L51" s="17">
        <v>2700</v>
      </c>
      <c r="M51" s="17">
        <v>2700</v>
      </c>
      <c r="N51" s="17">
        <f t="shared" si="1"/>
        <v>0</v>
      </c>
      <c r="O51" s="17">
        <v>0</v>
      </c>
      <c r="P51" t="s">
        <v>993</v>
      </c>
    </row>
    <row r="52" spans="1:17">
      <c r="A52" s="107" t="s">
        <v>685</v>
      </c>
      <c r="B52" s="107"/>
      <c r="C52" s="107"/>
      <c r="D52" s="107"/>
      <c r="E52" s="107" t="s">
        <v>683</v>
      </c>
      <c r="F52" s="107">
        <v>9</v>
      </c>
      <c r="G52" s="107">
        <v>20000</v>
      </c>
      <c r="H52" s="169">
        <v>35000</v>
      </c>
      <c r="I52" s="107">
        <v>20000</v>
      </c>
      <c r="J52" s="107">
        <f t="shared" si="0"/>
        <v>35000</v>
      </c>
      <c r="K52" s="107" t="s">
        <v>663</v>
      </c>
      <c r="L52" s="107">
        <v>2800</v>
      </c>
      <c r="M52" s="107">
        <v>2800</v>
      </c>
      <c r="N52" s="107">
        <f t="shared" si="1"/>
        <v>0</v>
      </c>
      <c r="O52" s="107">
        <v>0</v>
      </c>
      <c r="P52" t="s">
        <v>993</v>
      </c>
    </row>
    <row r="53" spans="1:17">
      <c r="A53" s="107"/>
      <c r="B53" s="107"/>
      <c r="C53" s="107"/>
      <c r="D53" s="107"/>
      <c r="E53" s="107" t="s">
        <v>111</v>
      </c>
      <c r="F53" s="107">
        <v>8</v>
      </c>
      <c r="G53" s="107"/>
      <c r="H53" s="107"/>
      <c r="I53" s="107"/>
      <c r="J53" s="107">
        <f t="shared" si="0"/>
        <v>0</v>
      </c>
      <c r="K53" s="107"/>
      <c r="L53" s="107">
        <v>2800</v>
      </c>
      <c r="M53" s="107">
        <v>2800</v>
      </c>
      <c r="N53" s="107">
        <f t="shared" si="1"/>
        <v>0</v>
      </c>
      <c r="O53" s="107">
        <v>0</v>
      </c>
    </row>
    <row r="54" spans="1:17">
      <c r="A54" s="107"/>
      <c r="B54" s="107"/>
      <c r="C54" s="107"/>
      <c r="D54" s="107"/>
      <c r="E54" s="107" t="s">
        <v>684</v>
      </c>
      <c r="F54" s="107">
        <v>4</v>
      </c>
      <c r="G54" s="107"/>
      <c r="H54" s="107"/>
      <c r="I54" s="107"/>
      <c r="J54" s="107">
        <f t="shared" si="0"/>
        <v>0</v>
      </c>
      <c r="K54" s="107"/>
      <c r="L54" s="107">
        <v>0</v>
      </c>
      <c r="M54" s="107">
        <v>0</v>
      </c>
      <c r="N54" s="107">
        <f t="shared" si="1"/>
        <v>0</v>
      </c>
      <c r="O54" s="107">
        <v>0</v>
      </c>
    </row>
    <row r="55" spans="1:17">
      <c r="A55" s="17" t="s">
        <v>688</v>
      </c>
      <c r="B55" s="17"/>
      <c r="C55" s="17"/>
      <c r="D55" s="17"/>
      <c r="E55" s="17" t="s">
        <v>113</v>
      </c>
      <c r="F55" s="17">
        <v>9</v>
      </c>
      <c r="G55" s="17">
        <v>11000</v>
      </c>
      <c r="H55" s="157">
        <v>30000</v>
      </c>
      <c r="I55" s="17">
        <v>11000</v>
      </c>
      <c r="J55" s="17">
        <f t="shared" si="0"/>
        <v>30000</v>
      </c>
      <c r="K55" s="17" t="s">
        <v>663</v>
      </c>
      <c r="L55" s="17">
        <v>1600</v>
      </c>
      <c r="M55" s="17">
        <v>1600</v>
      </c>
      <c r="N55" s="17">
        <f t="shared" si="1"/>
        <v>0</v>
      </c>
      <c r="O55" s="17">
        <v>0</v>
      </c>
      <c r="P55" t="s">
        <v>993</v>
      </c>
    </row>
    <row r="56" spans="1:17">
      <c r="A56" s="17"/>
      <c r="B56" s="17"/>
      <c r="C56" s="17"/>
      <c r="D56" s="17"/>
      <c r="E56" s="17" t="s">
        <v>686</v>
      </c>
      <c r="F56" s="17">
        <v>5</v>
      </c>
      <c r="G56" s="17">
        <v>0</v>
      </c>
      <c r="H56" s="17"/>
      <c r="I56" s="17"/>
      <c r="J56" s="17">
        <f t="shared" si="0"/>
        <v>0</v>
      </c>
      <c r="K56" s="17"/>
      <c r="L56" s="17">
        <v>1200</v>
      </c>
      <c r="M56" s="17">
        <v>1200</v>
      </c>
      <c r="N56" s="17">
        <f t="shared" si="1"/>
        <v>0</v>
      </c>
      <c r="O56" s="17">
        <v>0</v>
      </c>
      <c r="P56" t="s">
        <v>993</v>
      </c>
    </row>
    <row r="57" spans="1:17">
      <c r="A57" s="17"/>
      <c r="B57" s="17"/>
      <c r="C57" s="17"/>
      <c r="D57" s="17"/>
      <c r="E57" s="17" t="s">
        <v>687</v>
      </c>
      <c r="F57" s="17" t="s">
        <v>98</v>
      </c>
      <c r="G57" s="17">
        <v>0</v>
      </c>
      <c r="H57" s="17"/>
      <c r="I57" s="17"/>
      <c r="J57" s="17">
        <f t="shared" si="0"/>
        <v>0</v>
      </c>
      <c r="K57" s="17"/>
      <c r="L57" s="17">
        <v>400</v>
      </c>
      <c r="M57" s="17">
        <v>400</v>
      </c>
      <c r="N57" s="17">
        <f t="shared" si="1"/>
        <v>0</v>
      </c>
      <c r="O57" s="17">
        <v>0</v>
      </c>
      <c r="P57" t="s">
        <v>993</v>
      </c>
    </row>
    <row r="58" spans="1:17">
      <c r="A58" s="107" t="s">
        <v>690</v>
      </c>
      <c r="B58" s="107"/>
      <c r="C58" s="107"/>
      <c r="D58" s="107"/>
      <c r="E58" s="107" t="s">
        <v>689</v>
      </c>
      <c r="F58" s="107">
        <v>9</v>
      </c>
      <c r="G58" s="107">
        <v>10000</v>
      </c>
      <c r="H58" s="107">
        <v>33000</v>
      </c>
      <c r="I58" s="107">
        <v>30000</v>
      </c>
      <c r="J58" s="107">
        <f t="shared" si="0"/>
        <v>13000</v>
      </c>
      <c r="K58" s="107" t="s">
        <v>663</v>
      </c>
      <c r="L58" s="107">
        <v>5000</v>
      </c>
      <c r="M58" s="107">
        <v>3000</v>
      </c>
      <c r="N58" s="107">
        <f t="shared" si="1"/>
        <v>0</v>
      </c>
      <c r="O58" s="107">
        <v>2000</v>
      </c>
    </row>
    <row r="59" spans="1:17">
      <c r="A59" s="107"/>
      <c r="B59" s="107"/>
      <c r="C59" s="107"/>
      <c r="D59" s="107"/>
      <c r="E59" s="107" t="s">
        <v>116</v>
      </c>
      <c r="F59" s="107">
        <v>5</v>
      </c>
      <c r="G59" s="107"/>
      <c r="H59" s="107"/>
      <c r="I59" s="107"/>
      <c r="J59" s="107">
        <f t="shared" si="0"/>
        <v>0</v>
      </c>
      <c r="K59" s="107"/>
      <c r="L59" s="107">
        <v>2500</v>
      </c>
      <c r="M59" s="107">
        <v>2500</v>
      </c>
      <c r="N59" s="107">
        <f t="shared" si="1"/>
        <v>0</v>
      </c>
      <c r="O59" s="107">
        <v>0</v>
      </c>
      <c r="P59" t="s">
        <v>994</v>
      </c>
    </row>
    <row r="60" spans="1:17">
      <c r="A60" s="107"/>
      <c r="B60" s="107"/>
      <c r="C60" s="107"/>
      <c r="D60" s="107"/>
      <c r="E60" s="107" t="s">
        <v>115</v>
      </c>
      <c r="F60" s="107">
        <v>5</v>
      </c>
      <c r="G60" s="107"/>
      <c r="H60" s="107"/>
      <c r="I60" s="107"/>
      <c r="J60" s="107">
        <f t="shared" si="0"/>
        <v>0</v>
      </c>
      <c r="K60" s="107"/>
      <c r="L60" s="107">
        <v>2500</v>
      </c>
      <c r="M60" s="107">
        <v>2500</v>
      </c>
      <c r="N60" s="107">
        <f t="shared" si="1"/>
        <v>0</v>
      </c>
      <c r="O60" s="107">
        <v>0</v>
      </c>
      <c r="P60" t="s">
        <v>994</v>
      </c>
    </row>
    <row r="61" spans="1:17">
      <c r="A61" s="17" t="s">
        <v>692</v>
      </c>
      <c r="B61" s="17"/>
      <c r="C61" s="17"/>
      <c r="D61" s="17"/>
      <c r="E61" s="17" t="s">
        <v>691</v>
      </c>
      <c r="F61" s="17">
        <v>9</v>
      </c>
      <c r="G61" s="17">
        <v>0</v>
      </c>
      <c r="H61" s="17">
        <v>20000</v>
      </c>
      <c r="I61" s="17">
        <v>2000</v>
      </c>
      <c r="J61" s="17">
        <f t="shared" si="0"/>
        <v>18000</v>
      </c>
      <c r="K61" s="17"/>
      <c r="L61" s="17">
        <v>4000</v>
      </c>
      <c r="M61" s="17">
        <v>1500</v>
      </c>
      <c r="N61" s="17">
        <f t="shared" si="1"/>
        <v>2500</v>
      </c>
      <c r="O61" s="17">
        <v>0</v>
      </c>
    </row>
    <row r="62" spans="1:17">
      <c r="A62" s="107" t="s">
        <v>693</v>
      </c>
      <c r="B62" s="107"/>
      <c r="C62" s="107"/>
      <c r="D62" s="107"/>
      <c r="E62" s="107" t="s">
        <v>694</v>
      </c>
      <c r="F62" s="107">
        <v>8</v>
      </c>
      <c r="G62" s="107">
        <v>0</v>
      </c>
      <c r="H62" s="107"/>
      <c r="I62" s="107"/>
      <c r="J62" s="107">
        <f t="shared" si="0"/>
        <v>0</v>
      </c>
      <c r="K62" s="107" t="s">
        <v>663</v>
      </c>
      <c r="L62" s="107">
        <v>0</v>
      </c>
      <c r="M62" s="107">
        <v>0</v>
      </c>
      <c r="N62" s="107">
        <f t="shared" si="1"/>
        <v>0</v>
      </c>
      <c r="O62" s="107">
        <v>0</v>
      </c>
    </row>
    <row r="63" spans="1:17">
      <c r="A63" s="107"/>
      <c r="B63" s="107"/>
      <c r="C63" s="107"/>
      <c r="D63" s="107"/>
      <c r="E63" s="107" t="s">
        <v>118</v>
      </c>
      <c r="F63" s="107">
        <v>7</v>
      </c>
      <c r="G63" s="107">
        <v>13500</v>
      </c>
      <c r="H63" s="107">
        <v>13000</v>
      </c>
      <c r="I63" s="107">
        <v>11000</v>
      </c>
      <c r="J63" s="107">
        <f t="shared" si="0"/>
        <v>15500</v>
      </c>
      <c r="K63" s="107"/>
      <c r="L63" s="107">
        <v>0</v>
      </c>
      <c r="M63" s="107">
        <v>0</v>
      </c>
      <c r="N63" s="107">
        <f t="shared" si="1"/>
        <v>0</v>
      </c>
      <c r="O63" s="107">
        <v>0</v>
      </c>
    </row>
    <row r="64" spans="1:17">
      <c r="A64" s="17" t="s">
        <v>696</v>
      </c>
      <c r="B64" s="17"/>
      <c r="C64" s="17"/>
      <c r="D64" s="17"/>
      <c r="E64" s="17" t="s">
        <v>695</v>
      </c>
      <c r="F64" s="17">
        <v>8</v>
      </c>
      <c r="G64" s="17">
        <v>22000</v>
      </c>
      <c r="H64" s="17">
        <v>45000</v>
      </c>
      <c r="I64" s="17">
        <v>41000</v>
      </c>
      <c r="J64" s="17">
        <f t="shared" si="0"/>
        <v>26000</v>
      </c>
      <c r="K64" s="17" t="s">
        <v>663</v>
      </c>
      <c r="L64" s="17">
        <v>0</v>
      </c>
      <c r="M64" s="17">
        <v>0</v>
      </c>
      <c r="N64" s="17">
        <f t="shared" si="1"/>
        <v>0</v>
      </c>
      <c r="O64" s="17">
        <v>0</v>
      </c>
      <c r="Q64" s="22">
        <v>5000</v>
      </c>
    </row>
    <row r="65" spans="1:17">
      <c r="A65" s="17"/>
      <c r="B65" s="17"/>
      <c r="C65" s="17"/>
      <c r="D65" s="17"/>
      <c r="E65" s="17" t="s">
        <v>697</v>
      </c>
      <c r="F65" s="17">
        <v>8</v>
      </c>
      <c r="G65" s="17"/>
      <c r="H65" s="17"/>
      <c r="I65" s="17"/>
      <c r="J65" s="17"/>
      <c r="K65" s="17"/>
      <c r="L65" s="17">
        <v>0</v>
      </c>
      <c r="M65" s="17">
        <v>0</v>
      </c>
      <c r="N65" s="17">
        <f t="shared" si="1"/>
        <v>0</v>
      </c>
      <c r="O65" s="17">
        <v>0</v>
      </c>
    </row>
    <row r="66" spans="1:17">
      <c r="A66" s="17"/>
      <c r="B66" s="17"/>
      <c r="C66" s="17"/>
      <c r="D66" s="17"/>
      <c r="E66" s="17" t="s">
        <v>698</v>
      </c>
      <c r="F66" s="17">
        <v>5</v>
      </c>
      <c r="G66" s="17"/>
      <c r="H66" s="17"/>
      <c r="I66" s="17"/>
      <c r="J66" s="17"/>
      <c r="K66" s="17"/>
      <c r="L66" s="17">
        <v>0</v>
      </c>
      <c r="M66" s="17">
        <v>0</v>
      </c>
      <c r="N66" s="17">
        <f t="shared" si="1"/>
        <v>0</v>
      </c>
      <c r="O66" s="17">
        <v>0</v>
      </c>
    </row>
    <row r="67" spans="1:17">
      <c r="A67" s="17"/>
      <c r="B67" s="17"/>
      <c r="C67" s="17"/>
      <c r="D67" s="17"/>
      <c r="E67" s="17" t="s">
        <v>699</v>
      </c>
      <c r="F67" s="17" t="s">
        <v>102</v>
      </c>
      <c r="G67" s="17"/>
      <c r="H67" s="17"/>
      <c r="I67" s="17"/>
      <c r="J67" s="17"/>
      <c r="K67" s="17"/>
      <c r="L67" s="17">
        <v>0</v>
      </c>
      <c r="M67" s="17">
        <v>0</v>
      </c>
      <c r="N67" s="17">
        <f t="shared" si="1"/>
        <v>0</v>
      </c>
      <c r="O67" s="17">
        <v>0</v>
      </c>
    </row>
    <row r="68" spans="1:17">
      <c r="A68" s="107" t="s">
        <v>700</v>
      </c>
      <c r="B68" s="107"/>
      <c r="C68" s="107"/>
      <c r="D68" s="107"/>
      <c r="E68" s="107" t="s">
        <v>125</v>
      </c>
      <c r="F68" s="107">
        <v>8</v>
      </c>
      <c r="G68" s="107">
        <v>45000</v>
      </c>
      <c r="H68" s="107">
        <v>50000</v>
      </c>
      <c r="I68" s="107">
        <v>59000</v>
      </c>
      <c r="J68" s="107">
        <f t="shared" ref="J68" si="2">G68+H68-I68</f>
        <v>36000</v>
      </c>
      <c r="K68" s="107" t="s">
        <v>663</v>
      </c>
      <c r="L68" s="107">
        <v>2650</v>
      </c>
      <c r="M68" s="107">
        <v>2650</v>
      </c>
      <c r="N68" s="107">
        <f t="shared" si="1"/>
        <v>0</v>
      </c>
      <c r="O68" s="107">
        <v>0</v>
      </c>
      <c r="Q68" s="22">
        <v>2000</v>
      </c>
    </row>
    <row r="69" spans="1:17">
      <c r="A69" s="107"/>
      <c r="B69" s="107"/>
      <c r="C69" s="107"/>
      <c r="D69" s="107"/>
      <c r="E69" s="107" t="s">
        <v>126</v>
      </c>
      <c r="F69" s="107">
        <v>8</v>
      </c>
      <c r="G69" s="107"/>
      <c r="H69" s="107"/>
      <c r="I69" s="107"/>
      <c r="J69" s="107"/>
      <c r="K69" s="107"/>
      <c r="L69" s="107">
        <v>2650</v>
      </c>
      <c r="M69" s="107">
        <v>2650</v>
      </c>
      <c r="N69" s="107">
        <f t="shared" si="1"/>
        <v>0</v>
      </c>
      <c r="O69" s="107">
        <v>0</v>
      </c>
    </row>
    <row r="70" spans="1:17">
      <c r="A70" s="107"/>
      <c r="B70" s="107"/>
      <c r="C70" s="107"/>
      <c r="D70" s="107"/>
      <c r="E70" s="107" t="s">
        <v>128</v>
      </c>
      <c r="F70" s="107">
        <v>6</v>
      </c>
      <c r="G70" s="107"/>
      <c r="H70" s="107"/>
      <c r="I70" s="107"/>
      <c r="J70" s="107"/>
      <c r="K70" s="107"/>
      <c r="L70" s="107">
        <v>1950</v>
      </c>
      <c r="M70" s="107">
        <v>1950</v>
      </c>
      <c r="N70" s="107">
        <f t="shared" si="1"/>
        <v>0</v>
      </c>
      <c r="O70" s="107">
        <v>0</v>
      </c>
    </row>
    <row r="71" spans="1:17">
      <c r="A71" s="107"/>
      <c r="B71" s="107"/>
      <c r="C71" s="107"/>
      <c r="D71" s="107"/>
      <c r="E71" s="107" t="s">
        <v>129</v>
      </c>
      <c r="F71" s="107">
        <v>1</v>
      </c>
      <c r="G71" s="107"/>
      <c r="H71" s="107"/>
      <c r="I71" s="107"/>
      <c r="J71" s="107"/>
      <c r="K71" s="107"/>
      <c r="L71" s="107">
        <v>1850</v>
      </c>
      <c r="M71" s="107">
        <v>1850</v>
      </c>
      <c r="N71" s="107">
        <f t="shared" si="1"/>
        <v>0</v>
      </c>
      <c r="O71" s="107">
        <v>0</v>
      </c>
    </row>
    <row r="72" spans="1:17">
      <c r="A72" s="107"/>
      <c r="B72" s="107"/>
      <c r="C72" s="107"/>
      <c r="D72" s="107"/>
      <c r="E72" s="107" t="s">
        <v>127</v>
      </c>
      <c r="F72" s="107">
        <v>6</v>
      </c>
      <c r="G72" s="107"/>
      <c r="H72" s="107"/>
      <c r="I72" s="107"/>
      <c r="J72" s="107"/>
      <c r="K72" s="107"/>
      <c r="L72" s="107">
        <v>2250</v>
      </c>
      <c r="M72" s="107">
        <v>2250</v>
      </c>
      <c r="N72" s="107">
        <f t="shared" si="1"/>
        <v>0</v>
      </c>
      <c r="O72" s="107">
        <v>0</v>
      </c>
    </row>
    <row r="73" spans="1:17">
      <c r="A73" s="33" t="s">
        <v>702</v>
      </c>
      <c r="B73" s="33"/>
      <c r="C73" s="33"/>
      <c r="D73" s="33"/>
      <c r="E73" s="17" t="s">
        <v>703</v>
      </c>
      <c r="F73" s="17">
        <v>8</v>
      </c>
      <c r="G73" s="17"/>
      <c r="H73" s="17"/>
      <c r="I73" s="17"/>
      <c r="J73" s="17"/>
      <c r="K73" s="17" t="s">
        <v>663</v>
      </c>
      <c r="L73" s="17">
        <v>0</v>
      </c>
      <c r="M73" s="17">
        <v>0</v>
      </c>
      <c r="N73" s="17">
        <f t="shared" si="1"/>
        <v>0</v>
      </c>
      <c r="O73" s="17">
        <v>0</v>
      </c>
    </row>
    <row r="74" spans="1:17">
      <c r="A74" s="17"/>
      <c r="B74" s="17"/>
      <c r="C74" s="17"/>
      <c r="D74" s="17"/>
      <c r="E74" s="17" t="s">
        <v>701</v>
      </c>
      <c r="F74" s="17">
        <v>6</v>
      </c>
      <c r="G74" s="17">
        <v>13000</v>
      </c>
      <c r="H74" s="17">
        <v>14000</v>
      </c>
      <c r="I74" s="17">
        <v>0</v>
      </c>
      <c r="J74" s="17">
        <f t="shared" ref="J74:J85" si="3">G74+H74-I74</f>
        <v>27000</v>
      </c>
      <c r="K74" s="17"/>
      <c r="L74" s="17">
        <v>0</v>
      </c>
      <c r="M74" s="17">
        <v>0</v>
      </c>
      <c r="N74" s="17">
        <f t="shared" si="1"/>
        <v>0</v>
      </c>
      <c r="O74" s="17">
        <v>0</v>
      </c>
    </row>
    <row r="75" spans="1:17">
      <c r="A75" s="167" t="s">
        <v>837</v>
      </c>
      <c r="B75" s="167"/>
      <c r="C75" s="167"/>
      <c r="D75" s="167"/>
      <c r="E75" s="107" t="s">
        <v>154</v>
      </c>
      <c r="F75" s="107">
        <v>8</v>
      </c>
      <c r="G75" s="107">
        <v>15600</v>
      </c>
      <c r="H75" s="107">
        <v>20000</v>
      </c>
      <c r="I75" s="107">
        <v>15600</v>
      </c>
      <c r="J75" s="107">
        <f t="shared" si="3"/>
        <v>20000</v>
      </c>
      <c r="K75" s="107" t="s">
        <v>663</v>
      </c>
      <c r="L75" s="107">
        <v>0</v>
      </c>
      <c r="M75" s="107">
        <v>0</v>
      </c>
      <c r="N75" s="107">
        <f t="shared" si="1"/>
        <v>0</v>
      </c>
      <c r="O75" s="107">
        <v>0</v>
      </c>
    </row>
    <row r="76" spans="1:17">
      <c r="A76" s="107"/>
      <c r="B76" s="107"/>
      <c r="C76" s="107"/>
      <c r="D76" s="107"/>
      <c r="E76" s="107" t="s">
        <v>155</v>
      </c>
      <c r="F76" s="107">
        <v>4</v>
      </c>
      <c r="G76" s="107"/>
      <c r="H76" s="107"/>
      <c r="I76" s="107"/>
      <c r="J76" s="107"/>
      <c r="K76" s="107"/>
      <c r="L76" s="107">
        <v>0</v>
      </c>
      <c r="M76" s="107">
        <v>0</v>
      </c>
      <c r="N76" s="107">
        <f t="shared" si="1"/>
        <v>0</v>
      </c>
      <c r="O76" s="107">
        <v>0</v>
      </c>
    </row>
    <row r="77" spans="1:17">
      <c r="A77" s="17" t="s">
        <v>706</v>
      </c>
      <c r="B77" s="17"/>
      <c r="C77" s="17"/>
      <c r="D77" s="17"/>
      <c r="E77" s="17" t="s">
        <v>704</v>
      </c>
      <c r="F77" s="17">
        <v>8</v>
      </c>
      <c r="G77" s="17">
        <v>18300</v>
      </c>
      <c r="H77" s="17">
        <v>22000</v>
      </c>
      <c r="I77" s="17">
        <v>20300</v>
      </c>
      <c r="J77" s="17">
        <f t="shared" si="3"/>
        <v>20000</v>
      </c>
      <c r="K77" s="17" t="s">
        <v>663</v>
      </c>
      <c r="L77" s="17">
        <v>2800</v>
      </c>
      <c r="M77" s="17">
        <v>2800</v>
      </c>
      <c r="N77" s="17">
        <f t="shared" si="1"/>
        <v>0</v>
      </c>
      <c r="O77" s="17">
        <v>0</v>
      </c>
      <c r="Q77" s="22">
        <v>4000</v>
      </c>
    </row>
    <row r="78" spans="1:17">
      <c r="A78" s="17"/>
      <c r="B78" s="17"/>
      <c r="C78" s="17"/>
      <c r="D78" s="17"/>
      <c r="E78" s="17" t="s">
        <v>705</v>
      </c>
      <c r="F78" s="17">
        <v>1</v>
      </c>
      <c r="G78" s="17"/>
      <c r="H78" s="17"/>
      <c r="I78" s="17"/>
      <c r="J78" s="17"/>
      <c r="K78" s="17"/>
      <c r="L78" s="17">
        <v>2400</v>
      </c>
      <c r="M78" s="17">
        <v>2400</v>
      </c>
      <c r="N78" s="17">
        <f t="shared" si="1"/>
        <v>0</v>
      </c>
      <c r="O78" s="17">
        <v>0</v>
      </c>
    </row>
    <row r="79" spans="1:17">
      <c r="A79" s="107" t="s">
        <v>708</v>
      </c>
      <c r="B79" s="107"/>
      <c r="C79" s="107"/>
      <c r="D79" s="107"/>
      <c r="E79" s="107" t="s">
        <v>136</v>
      </c>
      <c r="F79" s="107">
        <v>6</v>
      </c>
      <c r="G79" s="107">
        <v>10000</v>
      </c>
      <c r="H79" s="107">
        <v>0</v>
      </c>
      <c r="I79" s="107">
        <v>10000</v>
      </c>
      <c r="J79" s="107">
        <f t="shared" si="3"/>
        <v>0</v>
      </c>
      <c r="K79" s="167" t="s">
        <v>612</v>
      </c>
      <c r="L79" s="107">
        <v>0</v>
      </c>
      <c r="M79" s="107">
        <v>0</v>
      </c>
      <c r="N79" s="107">
        <f t="shared" ref="N79:N87" si="4">L79-M79-O79</f>
        <v>0</v>
      </c>
      <c r="O79" s="107">
        <v>0</v>
      </c>
    </row>
    <row r="80" spans="1:17">
      <c r="A80" s="107"/>
      <c r="B80" s="107"/>
      <c r="C80" s="107"/>
      <c r="D80" s="107"/>
      <c r="E80" s="107" t="s">
        <v>707</v>
      </c>
      <c r="F80" s="107">
        <v>5</v>
      </c>
      <c r="G80" s="107">
        <v>4000</v>
      </c>
      <c r="H80" s="107">
        <v>10000</v>
      </c>
      <c r="I80" s="107">
        <v>3000</v>
      </c>
      <c r="J80" s="107">
        <f t="shared" si="3"/>
        <v>11000</v>
      </c>
      <c r="K80" s="107"/>
      <c r="L80" s="107">
        <v>3000</v>
      </c>
      <c r="M80" s="107">
        <v>3000</v>
      </c>
      <c r="N80" s="107">
        <f t="shared" si="4"/>
        <v>0</v>
      </c>
      <c r="O80" s="107">
        <v>0</v>
      </c>
    </row>
    <row r="81" spans="1:15">
      <c r="A81" s="17" t="s">
        <v>709</v>
      </c>
      <c r="B81" s="17"/>
      <c r="C81" s="17"/>
      <c r="D81" s="17"/>
      <c r="E81" s="17" t="s">
        <v>138</v>
      </c>
      <c r="F81" s="17">
        <v>8</v>
      </c>
      <c r="G81" s="17">
        <v>10000</v>
      </c>
      <c r="H81" s="17">
        <v>22000</v>
      </c>
      <c r="I81" s="17">
        <v>12200</v>
      </c>
      <c r="J81" s="17">
        <f t="shared" si="3"/>
        <v>19800</v>
      </c>
      <c r="K81" s="17" t="s">
        <v>663</v>
      </c>
      <c r="L81" s="17">
        <v>4200</v>
      </c>
      <c r="M81" s="17">
        <v>4200</v>
      </c>
      <c r="N81" s="17">
        <f t="shared" si="4"/>
        <v>0</v>
      </c>
      <c r="O81" s="17">
        <v>0</v>
      </c>
    </row>
    <row r="82" spans="1:15">
      <c r="A82" s="17"/>
      <c r="B82" s="17"/>
      <c r="C82" s="17"/>
      <c r="D82" s="17"/>
      <c r="E82" s="17" t="s">
        <v>139</v>
      </c>
      <c r="F82" s="17">
        <v>5</v>
      </c>
      <c r="G82" s="17"/>
      <c r="H82" s="17"/>
      <c r="I82" s="17"/>
      <c r="J82" s="17"/>
      <c r="K82" s="17"/>
      <c r="L82" s="17">
        <v>3600</v>
      </c>
      <c r="M82" s="17">
        <v>3600</v>
      </c>
      <c r="N82" s="17">
        <f t="shared" si="4"/>
        <v>0</v>
      </c>
      <c r="O82" s="17">
        <v>0</v>
      </c>
    </row>
    <row r="83" spans="1:15">
      <c r="A83" s="167" t="s">
        <v>711</v>
      </c>
      <c r="B83" s="167"/>
      <c r="C83" s="167"/>
      <c r="D83" s="167"/>
      <c r="E83" s="170" t="s">
        <v>710</v>
      </c>
      <c r="F83" s="107">
        <v>8</v>
      </c>
      <c r="G83" s="107">
        <v>0</v>
      </c>
      <c r="H83" s="107">
        <v>10000</v>
      </c>
      <c r="I83" s="107">
        <v>6000</v>
      </c>
      <c r="J83" s="107">
        <f t="shared" si="3"/>
        <v>4000</v>
      </c>
      <c r="K83" s="107"/>
      <c r="L83" s="107">
        <v>0</v>
      </c>
      <c r="M83" s="107">
        <v>0</v>
      </c>
      <c r="N83" s="107">
        <f t="shared" si="4"/>
        <v>0</v>
      </c>
      <c r="O83" s="107">
        <v>0</v>
      </c>
    </row>
    <row r="84" spans="1:15">
      <c r="A84" s="107"/>
      <c r="B84" s="107"/>
      <c r="C84" s="107"/>
      <c r="D84" s="107"/>
      <c r="E84" s="170" t="s">
        <v>687</v>
      </c>
      <c r="F84" s="107">
        <v>3</v>
      </c>
      <c r="G84" s="107"/>
      <c r="H84" s="107"/>
      <c r="I84" s="107"/>
      <c r="J84" s="107"/>
      <c r="K84" s="107"/>
      <c r="L84" s="107">
        <v>0</v>
      </c>
      <c r="M84" s="107">
        <v>0</v>
      </c>
      <c r="N84" s="107">
        <f t="shared" si="4"/>
        <v>0</v>
      </c>
      <c r="O84" s="107">
        <v>0</v>
      </c>
    </row>
    <row r="85" spans="1:15">
      <c r="A85" s="17" t="s">
        <v>712</v>
      </c>
      <c r="B85" s="17"/>
      <c r="C85" s="17"/>
      <c r="D85" s="17"/>
      <c r="E85" s="17" t="s">
        <v>142</v>
      </c>
      <c r="F85" s="17">
        <v>8</v>
      </c>
      <c r="G85" s="17">
        <v>15000</v>
      </c>
      <c r="H85" s="17">
        <v>16000</v>
      </c>
      <c r="I85" s="17">
        <v>25000</v>
      </c>
      <c r="J85" s="17">
        <f t="shared" si="3"/>
        <v>6000</v>
      </c>
      <c r="K85" s="17" t="s">
        <v>663</v>
      </c>
      <c r="L85" s="17">
        <v>4100</v>
      </c>
      <c r="M85" s="17">
        <v>3100</v>
      </c>
      <c r="N85" s="17">
        <f t="shared" si="4"/>
        <v>0</v>
      </c>
      <c r="O85" s="17">
        <v>1000</v>
      </c>
    </row>
    <row r="86" spans="1:15">
      <c r="A86" s="17"/>
      <c r="B86" s="17"/>
      <c r="C86" s="17"/>
      <c r="D86" s="17"/>
      <c r="E86" s="17" t="s">
        <v>143</v>
      </c>
      <c r="F86" s="17">
        <v>6</v>
      </c>
      <c r="G86" s="17"/>
      <c r="H86" s="17"/>
      <c r="I86" s="17"/>
      <c r="J86" s="17"/>
      <c r="K86" s="17"/>
      <c r="L86" s="17">
        <v>3300</v>
      </c>
      <c r="M86" s="17">
        <v>2800</v>
      </c>
      <c r="N86" s="17">
        <f t="shared" si="4"/>
        <v>0</v>
      </c>
      <c r="O86" s="17">
        <v>500</v>
      </c>
    </row>
    <row r="87" spans="1:15">
      <c r="A87" s="17"/>
      <c r="B87" s="17"/>
      <c r="C87" s="17"/>
      <c r="D87" s="17"/>
      <c r="E87" s="17" t="s">
        <v>144</v>
      </c>
      <c r="F87" s="17">
        <v>1</v>
      </c>
      <c r="G87" s="17"/>
      <c r="H87" s="17"/>
      <c r="I87" s="17"/>
      <c r="J87" s="17"/>
      <c r="K87" s="17"/>
      <c r="L87" s="17">
        <v>2500</v>
      </c>
      <c r="M87" s="17">
        <v>2000</v>
      </c>
      <c r="N87" s="17">
        <f t="shared" si="4"/>
        <v>0</v>
      </c>
      <c r="O87" s="17">
        <v>500</v>
      </c>
    </row>
    <row r="88" spans="1:15">
      <c r="A88" s="107" t="s">
        <v>713</v>
      </c>
      <c r="B88" s="107"/>
      <c r="C88" s="107"/>
      <c r="D88" s="107"/>
      <c r="E88" s="107" t="s">
        <v>123</v>
      </c>
      <c r="F88" s="107">
        <v>7</v>
      </c>
      <c r="G88" s="107">
        <v>15000</v>
      </c>
      <c r="H88" s="107">
        <v>0</v>
      </c>
      <c r="I88" s="107">
        <v>15000</v>
      </c>
      <c r="J88" s="107">
        <f t="shared" ref="J88:J90" si="5">G88+H88-I88</f>
        <v>0</v>
      </c>
      <c r="K88" s="167" t="s">
        <v>612</v>
      </c>
      <c r="L88" s="107"/>
      <c r="M88" s="107"/>
      <c r="N88" s="107"/>
      <c r="O88" s="107"/>
    </row>
    <row r="89" spans="1:15">
      <c r="A89" s="107"/>
      <c r="B89" s="107"/>
      <c r="C89" s="107"/>
      <c r="D89" s="107"/>
      <c r="E89" s="107" t="s">
        <v>124</v>
      </c>
      <c r="F89" s="107">
        <v>3</v>
      </c>
      <c r="G89" s="107"/>
      <c r="H89" s="107"/>
      <c r="I89" s="107"/>
      <c r="J89" s="107"/>
      <c r="K89" s="167" t="s">
        <v>612</v>
      </c>
      <c r="L89" s="107"/>
      <c r="M89" s="107"/>
      <c r="N89" s="107"/>
      <c r="O89" s="107"/>
    </row>
    <row r="90" spans="1:15">
      <c r="A90" s="17" t="s">
        <v>717</v>
      </c>
      <c r="B90" s="17"/>
      <c r="C90" s="17"/>
      <c r="D90" s="17"/>
      <c r="E90" s="17" t="s">
        <v>714</v>
      </c>
      <c r="F90" s="17">
        <v>8</v>
      </c>
      <c r="G90" s="17">
        <v>26000</v>
      </c>
      <c r="H90" s="17">
        <v>0</v>
      </c>
      <c r="I90" s="17">
        <v>26000</v>
      </c>
      <c r="J90" s="17">
        <f t="shared" si="5"/>
        <v>0</v>
      </c>
      <c r="K90" s="33" t="s">
        <v>612</v>
      </c>
      <c r="L90" s="17"/>
      <c r="M90" s="17"/>
      <c r="N90" s="17"/>
      <c r="O90" s="17"/>
    </row>
    <row r="91" spans="1:15">
      <c r="A91" s="17"/>
      <c r="B91" s="17"/>
      <c r="C91" s="17"/>
      <c r="D91" s="17"/>
      <c r="E91" s="17" t="s">
        <v>715</v>
      </c>
      <c r="F91" s="17">
        <v>8</v>
      </c>
      <c r="G91" s="17"/>
      <c r="H91" s="17"/>
      <c r="I91" s="17"/>
      <c r="J91" s="17"/>
      <c r="K91" s="33" t="s">
        <v>612</v>
      </c>
      <c r="L91" s="17"/>
      <c r="M91" s="17"/>
      <c r="N91" s="17"/>
      <c r="O91" s="17"/>
    </row>
    <row r="92" spans="1:15">
      <c r="A92" s="17"/>
      <c r="B92" s="17"/>
      <c r="C92" s="17"/>
      <c r="D92" s="17"/>
      <c r="E92" s="17" t="s">
        <v>716</v>
      </c>
      <c r="F92" s="17">
        <v>5</v>
      </c>
      <c r="G92" s="17"/>
      <c r="H92" s="17"/>
      <c r="I92" s="17"/>
      <c r="J92" s="17"/>
      <c r="K92" s="33" t="s">
        <v>612</v>
      </c>
      <c r="L92" s="17"/>
      <c r="M92" s="17"/>
      <c r="N92" s="17"/>
      <c r="O92" s="17"/>
    </row>
    <row r="93" spans="1:15">
      <c r="A93" s="17"/>
      <c r="B93" s="17"/>
      <c r="C93" s="17"/>
      <c r="D93" s="17"/>
      <c r="E93" s="17" t="s">
        <v>718</v>
      </c>
      <c r="F93" s="17">
        <v>2</v>
      </c>
      <c r="G93" s="17"/>
      <c r="H93" s="17"/>
      <c r="I93" s="17"/>
      <c r="J93" s="17"/>
      <c r="K93" s="33" t="s">
        <v>612</v>
      </c>
      <c r="L93" s="17"/>
      <c r="M93" s="17"/>
      <c r="N93" s="17"/>
      <c r="O93" s="17"/>
    </row>
    <row r="94" spans="1:15">
      <c r="A94" s="17" t="s">
        <v>719</v>
      </c>
      <c r="B94" s="17"/>
      <c r="C94" s="17"/>
      <c r="D94" s="17"/>
      <c r="E94" s="17" t="s">
        <v>146</v>
      </c>
      <c r="F94" s="17">
        <v>7</v>
      </c>
      <c r="G94" s="17">
        <v>9200</v>
      </c>
      <c r="H94" s="17">
        <v>0</v>
      </c>
      <c r="I94" s="17">
        <v>9200</v>
      </c>
      <c r="J94" s="17">
        <f t="shared" ref="J94:J105" si="6">G94+H94-I94</f>
        <v>0</v>
      </c>
      <c r="K94" s="33" t="s">
        <v>612</v>
      </c>
      <c r="L94" s="17"/>
      <c r="M94" s="17"/>
      <c r="N94" s="17"/>
      <c r="O94" s="17"/>
    </row>
    <row r="95" spans="1:15">
      <c r="A95" s="155" t="s">
        <v>721</v>
      </c>
      <c r="B95" s="155"/>
      <c r="C95" s="155"/>
      <c r="D95" s="155"/>
      <c r="E95" s="155" t="s">
        <v>720</v>
      </c>
      <c r="F95" s="155">
        <v>8</v>
      </c>
      <c r="G95" s="155">
        <v>0</v>
      </c>
      <c r="H95" s="155">
        <v>0</v>
      </c>
      <c r="I95" s="155"/>
      <c r="J95" s="155">
        <f t="shared" si="6"/>
        <v>0</v>
      </c>
      <c r="K95" s="155"/>
      <c r="L95" s="17"/>
      <c r="M95" s="17"/>
      <c r="N95" s="17"/>
      <c r="O95" s="17"/>
    </row>
    <row r="96" spans="1:15">
      <c r="A96" s="17" t="s">
        <v>838</v>
      </c>
      <c r="B96" s="17"/>
      <c r="C96" s="17"/>
      <c r="D96" s="17"/>
      <c r="E96" s="17" t="s">
        <v>722</v>
      </c>
      <c r="F96" s="17">
        <v>8</v>
      </c>
      <c r="G96" s="17">
        <v>14000</v>
      </c>
      <c r="H96" s="17">
        <v>15000</v>
      </c>
      <c r="I96" s="17">
        <v>6000</v>
      </c>
      <c r="J96" s="17">
        <f t="shared" si="6"/>
        <v>23000</v>
      </c>
      <c r="K96" s="17"/>
      <c r="L96" s="17"/>
      <c r="M96" s="17"/>
      <c r="N96" s="17"/>
      <c r="O96" s="17"/>
    </row>
    <row r="97" spans="1:15">
      <c r="A97" s="155" t="s">
        <v>723</v>
      </c>
      <c r="B97" s="155"/>
      <c r="C97" s="155"/>
      <c r="D97" s="155"/>
      <c r="E97" s="155" t="s">
        <v>152</v>
      </c>
      <c r="F97" s="155">
        <v>8</v>
      </c>
      <c r="G97" s="155">
        <v>20000</v>
      </c>
      <c r="H97" s="155">
        <v>25000</v>
      </c>
      <c r="I97" s="155">
        <v>10000</v>
      </c>
      <c r="J97" s="155">
        <f t="shared" si="6"/>
        <v>35000</v>
      </c>
      <c r="K97" s="155" t="s">
        <v>663</v>
      </c>
      <c r="L97" s="17"/>
      <c r="M97" s="17"/>
      <c r="N97" s="17"/>
      <c r="O97" s="17"/>
    </row>
    <row r="98" spans="1:15">
      <c r="A98" s="155"/>
      <c r="B98" s="155"/>
      <c r="C98" s="155"/>
      <c r="D98" s="155"/>
      <c r="E98" s="155" t="s">
        <v>153</v>
      </c>
      <c r="F98" s="155">
        <v>6</v>
      </c>
      <c r="G98" s="155"/>
      <c r="H98" s="155"/>
      <c r="I98" s="155"/>
      <c r="J98" s="155"/>
      <c r="K98" s="155"/>
      <c r="L98" s="17"/>
      <c r="M98" s="17"/>
      <c r="N98" s="17"/>
      <c r="O98" s="17"/>
    </row>
    <row r="99" spans="1:15">
      <c r="A99" s="17" t="s">
        <v>725</v>
      </c>
      <c r="B99" s="17"/>
      <c r="C99" s="17"/>
      <c r="D99" s="17"/>
      <c r="E99" s="17" t="s">
        <v>724</v>
      </c>
      <c r="F99" s="17">
        <v>8</v>
      </c>
      <c r="G99" s="17">
        <v>6300</v>
      </c>
      <c r="H99" s="17">
        <v>15000</v>
      </c>
      <c r="I99" s="17">
        <v>6300</v>
      </c>
      <c r="J99" s="17">
        <f t="shared" si="6"/>
        <v>15000</v>
      </c>
      <c r="K99" s="17"/>
      <c r="L99" s="17"/>
      <c r="M99" s="17"/>
      <c r="N99" s="17"/>
      <c r="O99" s="17"/>
    </row>
    <row r="100" spans="1:15">
      <c r="A100" s="155" t="s">
        <v>727</v>
      </c>
      <c r="B100" s="155"/>
      <c r="C100" s="155"/>
      <c r="D100" s="155"/>
      <c r="E100" s="155" t="s">
        <v>726</v>
      </c>
      <c r="F100" s="155">
        <v>7</v>
      </c>
      <c r="G100" s="155">
        <v>2000</v>
      </c>
      <c r="H100" s="155"/>
      <c r="I100" s="155">
        <v>2000</v>
      </c>
      <c r="J100" s="155">
        <f t="shared" si="6"/>
        <v>0</v>
      </c>
      <c r="K100" s="156" t="s">
        <v>612</v>
      </c>
      <c r="L100" s="17"/>
      <c r="M100" s="17"/>
      <c r="N100" s="17"/>
      <c r="O100" s="17"/>
    </row>
    <row r="101" spans="1:15">
      <c r="A101" s="17" t="s">
        <v>729</v>
      </c>
      <c r="B101" s="17"/>
      <c r="C101" s="17"/>
      <c r="D101" s="17"/>
      <c r="E101" s="17" t="s">
        <v>728</v>
      </c>
      <c r="F101" s="17">
        <v>7</v>
      </c>
      <c r="G101" s="17">
        <v>9000</v>
      </c>
      <c r="H101" s="17">
        <v>12800</v>
      </c>
      <c r="I101" s="17">
        <v>19000</v>
      </c>
      <c r="J101" s="17">
        <f t="shared" si="6"/>
        <v>2800</v>
      </c>
      <c r="K101" s="17"/>
      <c r="L101" s="17"/>
      <c r="M101" s="17"/>
      <c r="N101" s="17"/>
      <c r="O101" s="17"/>
    </row>
    <row r="102" spans="1:15">
      <c r="A102" s="155" t="s">
        <v>731</v>
      </c>
      <c r="B102" s="155"/>
      <c r="C102" s="155"/>
      <c r="D102" s="155"/>
      <c r="E102" s="155" t="s">
        <v>730</v>
      </c>
      <c r="F102" s="155">
        <v>7</v>
      </c>
      <c r="G102" s="155">
        <v>5500</v>
      </c>
      <c r="H102" s="155">
        <v>12000</v>
      </c>
      <c r="I102" s="155">
        <v>6500</v>
      </c>
      <c r="J102" s="155">
        <f t="shared" si="6"/>
        <v>11000</v>
      </c>
      <c r="K102" s="155"/>
      <c r="L102" s="17"/>
      <c r="M102" s="17"/>
      <c r="N102" s="17"/>
      <c r="O102" s="17"/>
    </row>
    <row r="103" spans="1:15">
      <c r="A103" s="17" t="s">
        <v>734</v>
      </c>
      <c r="B103" s="17"/>
      <c r="C103" s="17"/>
      <c r="D103" s="17"/>
      <c r="E103" s="17" t="s">
        <v>733</v>
      </c>
      <c r="F103" s="17">
        <v>7</v>
      </c>
      <c r="G103" s="17"/>
      <c r="H103" s="17"/>
      <c r="I103" s="17"/>
      <c r="J103" s="17"/>
      <c r="K103" s="17"/>
      <c r="L103" s="17"/>
      <c r="M103" s="17"/>
      <c r="N103" s="17"/>
      <c r="O103" s="17"/>
    </row>
    <row r="104" spans="1:15">
      <c r="A104" s="17"/>
      <c r="B104" s="17"/>
      <c r="C104" s="17"/>
      <c r="D104" s="17"/>
      <c r="E104" s="17" t="s">
        <v>160</v>
      </c>
      <c r="F104" s="17">
        <v>5</v>
      </c>
      <c r="G104" s="17">
        <v>11000</v>
      </c>
      <c r="H104" s="17">
        <v>10000</v>
      </c>
      <c r="I104" s="17">
        <v>11000</v>
      </c>
      <c r="J104" s="17">
        <f t="shared" si="6"/>
        <v>10000</v>
      </c>
      <c r="K104" s="17"/>
      <c r="L104" s="17"/>
      <c r="M104" s="17"/>
      <c r="N104" s="17"/>
      <c r="O104" s="17"/>
    </row>
    <row r="105" spans="1:15">
      <c r="A105" s="155" t="s">
        <v>738</v>
      </c>
      <c r="B105" s="155"/>
      <c r="C105" s="155"/>
      <c r="D105" s="155"/>
      <c r="E105" s="155" t="s">
        <v>727</v>
      </c>
      <c r="F105" s="155">
        <v>7</v>
      </c>
      <c r="G105" s="155">
        <v>13000</v>
      </c>
      <c r="H105" s="155">
        <v>29600</v>
      </c>
      <c r="I105" s="155">
        <v>20600</v>
      </c>
      <c r="J105" s="155">
        <f t="shared" si="6"/>
        <v>22000</v>
      </c>
      <c r="K105" s="155" t="s">
        <v>663</v>
      </c>
      <c r="L105" s="17"/>
      <c r="M105" s="17"/>
      <c r="N105" s="17"/>
      <c r="O105" s="17"/>
    </row>
    <row r="106" spans="1:15">
      <c r="A106" s="155"/>
      <c r="B106" s="155"/>
      <c r="C106" s="155"/>
      <c r="D106" s="155"/>
      <c r="E106" s="155" t="s">
        <v>735</v>
      </c>
      <c r="F106" s="155">
        <v>4</v>
      </c>
      <c r="G106" s="155"/>
      <c r="H106" s="155"/>
      <c r="I106" s="155"/>
      <c r="J106" s="155"/>
      <c r="K106" s="155"/>
      <c r="L106" s="17"/>
      <c r="M106" s="17"/>
      <c r="N106" s="17"/>
      <c r="O106" s="17"/>
    </row>
    <row r="107" spans="1:15">
      <c r="A107" s="155"/>
      <c r="B107" s="155"/>
      <c r="C107" s="155"/>
      <c r="D107" s="155"/>
      <c r="E107" s="155" t="s">
        <v>736</v>
      </c>
      <c r="F107" s="155">
        <v>2</v>
      </c>
      <c r="G107" s="155"/>
      <c r="H107" s="155"/>
      <c r="I107" s="155"/>
      <c r="J107" s="155"/>
      <c r="K107" s="155"/>
      <c r="L107" s="17"/>
      <c r="M107" s="17"/>
      <c r="N107" s="17"/>
      <c r="O107" s="17"/>
    </row>
    <row r="108" spans="1:15">
      <c r="A108" s="155"/>
      <c r="B108" s="155"/>
      <c r="C108" s="155"/>
      <c r="D108" s="155"/>
      <c r="E108" s="155" t="s">
        <v>529</v>
      </c>
      <c r="F108" s="155" t="s">
        <v>737</v>
      </c>
      <c r="G108" s="155"/>
      <c r="H108" s="155"/>
      <c r="I108" s="155"/>
      <c r="J108" s="155"/>
      <c r="K108" s="155"/>
      <c r="L108" s="17"/>
      <c r="M108" s="17"/>
      <c r="N108" s="17"/>
      <c r="O108" s="17"/>
    </row>
    <row r="109" spans="1:15">
      <c r="A109" s="17" t="s">
        <v>739</v>
      </c>
      <c r="B109" s="17"/>
      <c r="C109" s="17"/>
      <c r="D109" s="17"/>
      <c r="E109" s="17" t="s">
        <v>68</v>
      </c>
      <c r="F109" s="17">
        <v>7</v>
      </c>
      <c r="G109" s="17">
        <v>5000</v>
      </c>
      <c r="H109" s="17">
        <v>12000</v>
      </c>
      <c r="I109" s="17">
        <v>7600</v>
      </c>
      <c r="J109" s="17">
        <f t="shared" ref="J109:J113" si="7">G109+H109-I109</f>
        <v>9400</v>
      </c>
      <c r="K109" s="17"/>
      <c r="L109" s="17"/>
      <c r="M109" s="17"/>
      <c r="N109" s="17"/>
      <c r="O109" s="17"/>
    </row>
    <row r="110" spans="1:15">
      <c r="A110" s="155" t="s">
        <v>741</v>
      </c>
      <c r="B110" s="155"/>
      <c r="C110" s="155"/>
      <c r="D110" s="155"/>
      <c r="E110" s="155" t="s">
        <v>740</v>
      </c>
      <c r="F110" s="155">
        <v>7</v>
      </c>
      <c r="G110" s="155">
        <v>5000</v>
      </c>
      <c r="H110" s="155">
        <v>10000</v>
      </c>
      <c r="I110" s="155">
        <v>7000</v>
      </c>
      <c r="J110" s="155">
        <f t="shared" si="7"/>
        <v>8000</v>
      </c>
      <c r="K110" s="155"/>
      <c r="L110" s="17"/>
      <c r="M110" s="17"/>
      <c r="N110" s="17"/>
      <c r="O110" s="17"/>
    </row>
    <row r="111" spans="1:15">
      <c r="A111" s="17" t="s">
        <v>742</v>
      </c>
      <c r="B111" s="17"/>
      <c r="C111" s="17"/>
      <c r="D111" s="17"/>
      <c r="E111" s="17" t="s">
        <v>743</v>
      </c>
      <c r="F111" s="17">
        <v>7</v>
      </c>
      <c r="G111" s="17">
        <v>2000</v>
      </c>
      <c r="H111" s="17">
        <v>0</v>
      </c>
      <c r="I111" s="17">
        <v>2000</v>
      </c>
      <c r="J111" s="17">
        <f t="shared" si="7"/>
        <v>0</v>
      </c>
      <c r="K111" s="17"/>
      <c r="L111" s="17"/>
      <c r="M111" s="17"/>
      <c r="N111" s="17"/>
      <c r="O111" s="17"/>
    </row>
    <row r="112" spans="1:15">
      <c r="A112" s="17"/>
      <c r="B112" s="17"/>
      <c r="C112" s="17"/>
      <c r="D112" s="17"/>
      <c r="E112" s="17" t="s">
        <v>744</v>
      </c>
      <c r="F112" s="17"/>
      <c r="G112" s="17"/>
      <c r="H112" s="17"/>
      <c r="I112" s="17"/>
      <c r="J112" s="17"/>
      <c r="K112" s="17"/>
      <c r="L112" s="17"/>
      <c r="M112" s="17"/>
      <c r="N112" s="17"/>
      <c r="O112" s="17"/>
    </row>
    <row r="113" spans="1:17">
      <c r="A113" s="156" t="s">
        <v>746</v>
      </c>
      <c r="B113" s="156"/>
      <c r="C113" s="156"/>
      <c r="D113" s="156"/>
      <c r="E113" s="155" t="s">
        <v>162</v>
      </c>
      <c r="F113" s="155">
        <v>7</v>
      </c>
      <c r="G113" s="155">
        <v>26500</v>
      </c>
      <c r="H113" s="155">
        <v>50000</v>
      </c>
      <c r="I113" s="155">
        <v>38000</v>
      </c>
      <c r="J113" s="155">
        <f t="shared" si="7"/>
        <v>38500</v>
      </c>
      <c r="K113" s="155" t="s">
        <v>663</v>
      </c>
      <c r="L113" s="17"/>
      <c r="M113" s="17"/>
      <c r="N113" s="17"/>
      <c r="O113" s="17"/>
    </row>
    <row r="114" spans="1:17">
      <c r="A114" s="155"/>
      <c r="B114" s="155"/>
      <c r="C114" s="155"/>
      <c r="D114" s="155"/>
      <c r="E114" s="155" t="s">
        <v>163</v>
      </c>
      <c r="F114" s="155">
        <v>6</v>
      </c>
      <c r="G114" s="155"/>
      <c r="H114" s="155"/>
      <c r="I114" s="155"/>
      <c r="J114" s="155"/>
      <c r="K114" s="155"/>
      <c r="L114" s="17"/>
      <c r="M114" s="17"/>
      <c r="N114" s="17"/>
      <c r="O114" s="17"/>
    </row>
    <row r="115" spans="1:17">
      <c r="A115" s="155"/>
      <c r="B115" s="155"/>
      <c r="C115" s="155"/>
      <c r="D115" s="155"/>
      <c r="E115" s="155" t="s">
        <v>165</v>
      </c>
      <c r="F115" s="155">
        <v>5</v>
      </c>
      <c r="G115" s="155"/>
      <c r="H115" s="155"/>
      <c r="I115" s="155"/>
      <c r="J115" s="155"/>
      <c r="K115" s="155"/>
      <c r="L115" s="17"/>
      <c r="M115" s="17"/>
      <c r="N115" s="17"/>
      <c r="O115" s="17"/>
    </row>
    <row r="116" spans="1:17">
      <c r="A116" s="155"/>
      <c r="B116" s="155"/>
      <c r="C116" s="155"/>
      <c r="D116" s="155"/>
      <c r="E116" s="155" t="s">
        <v>745</v>
      </c>
      <c r="F116" s="155">
        <v>5</v>
      </c>
      <c r="G116" s="155"/>
      <c r="H116" s="155"/>
      <c r="I116" s="155"/>
      <c r="J116" s="155"/>
      <c r="K116" s="155"/>
      <c r="L116" s="17"/>
      <c r="M116" s="17"/>
      <c r="N116" s="17"/>
      <c r="O116" s="17"/>
    </row>
    <row r="117" spans="1:17">
      <c r="A117" s="155"/>
      <c r="B117" s="155"/>
      <c r="C117" s="155"/>
      <c r="D117" s="155"/>
      <c r="E117" s="155" t="s">
        <v>164</v>
      </c>
      <c r="F117" s="155">
        <v>2</v>
      </c>
      <c r="G117" s="155"/>
      <c r="H117" s="155"/>
      <c r="I117" s="155"/>
      <c r="J117" s="155"/>
      <c r="K117" s="155"/>
      <c r="L117" s="17"/>
      <c r="M117" s="17"/>
      <c r="N117" s="17"/>
      <c r="O117" s="17"/>
    </row>
    <row r="118" spans="1:17">
      <c r="A118" s="17" t="s">
        <v>747</v>
      </c>
      <c r="B118" s="17"/>
      <c r="C118" s="17"/>
      <c r="D118" s="17"/>
      <c r="E118" s="17" t="s">
        <v>166</v>
      </c>
      <c r="F118" s="17">
        <v>7</v>
      </c>
      <c r="G118" s="17">
        <v>9700</v>
      </c>
      <c r="H118" s="17">
        <v>7500</v>
      </c>
      <c r="I118" s="17">
        <v>15200</v>
      </c>
      <c r="J118" s="17">
        <f t="shared" ref="J118:J121" si="8">G118+H118-I118</f>
        <v>2000</v>
      </c>
      <c r="K118" s="17"/>
      <c r="L118" s="17"/>
      <c r="M118" s="17"/>
      <c r="N118" s="17"/>
      <c r="O118" s="17"/>
      <c r="Q118" s="22">
        <v>2000</v>
      </c>
    </row>
    <row r="119" spans="1:17">
      <c r="A119" s="155" t="s">
        <v>748</v>
      </c>
      <c r="B119" s="155"/>
      <c r="C119" s="155"/>
      <c r="D119" s="155"/>
      <c r="E119" s="155" t="s">
        <v>167</v>
      </c>
      <c r="F119" s="155">
        <v>7</v>
      </c>
      <c r="G119" s="155">
        <v>19400</v>
      </c>
      <c r="H119" s="155">
        <v>9800</v>
      </c>
      <c r="I119" s="155">
        <v>21900</v>
      </c>
      <c r="J119" s="155">
        <f t="shared" si="8"/>
        <v>7300</v>
      </c>
      <c r="K119" s="155" t="s">
        <v>663</v>
      </c>
      <c r="L119" s="17"/>
      <c r="M119" s="17"/>
      <c r="N119" s="17"/>
      <c r="O119" s="17"/>
    </row>
    <row r="120" spans="1:17">
      <c r="A120" s="155"/>
      <c r="B120" s="155"/>
      <c r="C120" s="155"/>
      <c r="D120" s="155"/>
      <c r="E120" s="155" t="s">
        <v>168</v>
      </c>
      <c r="F120" s="155"/>
      <c r="G120" s="155"/>
      <c r="H120" s="155"/>
      <c r="I120" s="155"/>
      <c r="J120" s="155"/>
      <c r="K120" s="156" t="s">
        <v>612</v>
      </c>
      <c r="L120" s="17"/>
      <c r="M120" s="17"/>
      <c r="N120" s="17"/>
      <c r="O120" s="17"/>
    </row>
    <row r="121" spans="1:17">
      <c r="A121" s="33" t="s">
        <v>751</v>
      </c>
      <c r="B121" s="33"/>
      <c r="C121" s="33"/>
      <c r="D121" s="33"/>
      <c r="E121" s="17" t="s">
        <v>174</v>
      </c>
      <c r="F121" s="17">
        <v>7</v>
      </c>
      <c r="G121" s="17">
        <v>21500</v>
      </c>
      <c r="H121" s="17">
        <v>35000</v>
      </c>
      <c r="I121" s="17">
        <v>23000</v>
      </c>
      <c r="J121" s="17">
        <f t="shared" si="8"/>
        <v>33500</v>
      </c>
      <c r="K121" s="17"/>
      <c r="L121" s="17"/>
      <c r="M121" s="17"/>
      <c r="N121" s="17"/>
      <c r="O121" s="17"/>
    </row>
    <row r="122" spans="1:17">
      <c r="A122" s="17"/>
      <c r="B122" s="17"/>
      <c r="C122" s="17"/>
      <c r="D122" s="17"/>
      <c r="E122" s="17" t="s">
        <v>749</v>
      </c>
      <c r="F122" s="17">
        <v>5</v>
      </c>
      <c r="G122" s="17"/>
      <c r="H122" s="17"/>
      <c r="I122" s="17"/>
      <c r="J122" s="17"/>
      <c r="K122" s="17"/>
      <c r="L122" s="17"/>
      <c r="M122" s="17"/>
      <c r="N122" s="17"/>
      <c r="O122" s="17"/>
    </row>
    <row r="123" spans="1:17">
      <c r="A123" s="17"/>
      <c r="B123" s="17"/>
      <c r="C123" s="17"/>
      <c r="D123" s="17"/>
      <c r="E123" s="17" t="s">
        <v>750</v>
      </c>
      <c r="F123" s="17">
        <v>2</v>
      </c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7">
      <c r="A124" s="17"/>
      <c r="B124" s="17"/>
      <c r="C124" s="17"/>
      <c r="D124" s="17"/>
      <c r="E124" s="17" t="s">
        <v>177</v>
      </c>
      <c r="F124" s="17" t="s">
        <v>102</v>
      </c>
      <c r="G124" s="17"/>
      <c r="H124" s="17"/>
      <c r="I124" s="17"/>
      <c r="J124" s="17"/>
      <c r="K124" s="17"/>
      <c r="L124" s="17"/>
      <c r="M124" s="17"/>
      <c r="N124" s="17"/>
      <c r="O124" s="17"/>
    </row>
    <row r="125" spans="1:17">
      <c r="A125" s="155" t="s">
        <v>752</v>
      </c>
      <c r="B125" s="155"/>
      <c r="C125" s="155"/>
      <c r="D125" s="155"/>
      <c r="E125" s="155" t="s">
        <v>179</v>
      </c>
      <c r="F125" s="155">
        <v>7</v>
      </c>
      <c r="G125" s="155">
        <v>6700</v>
      </c>
      <c r="H125" s="155">
        <v>13000</v>
      </c>
      <c r="I125" s="155">
        <v>6700</v>
      </c>
      <c r="J125" s="155">
        <f t="shared" ref="J125:J130" si="9">G125+H125-I125</f>
        <v>13000</v>
      </c>
      <c r="K125" s="155"/>
      <c r="L125" s="17"/>
      <c r="M125" s="17"/>
      <c r="N125" s="17"/>
      <c r="O125" s="17"/>
    </row>
    <row r="126" spans="1:17">
      <c r="A126" s="33" t="s">
        <v>753</v>
      </c>
      <c r="B126" s="33"/>
      <c r="C126" s="33"/>
      <c r="D126" s="33"/>
      <c r="E126" s="17" t="s">
        <v>180</v>
      </c>
      <c r="F126" s="17">
        <v>7</v>
      </c>
      <c r="G126" s="17">
        <v>7500</v>
      </c>
      <c r="H126" s="17">
        <v>11500</v>
      </c>
      <c r="I126" s="17">
        <v>7000</v>
      </c>
      <c r="J126" s="17">
        <f t="shared" si="9"/>
        <v>12000</v>
      </c>
      <c r="K126" s="17"/>
      <c r="L126" s="17"/>
      <c r="M126" s="17"/>
      <c r="N126" s="17"/>
      <c r="O126" s="17"/>
      <c r="Q126" s="22">
        <v>3000</v>
      </c>
    </row>
    <row r="127" spans="1:17">
      <c r="A127" s="155" t="s">
        <v>774</v>
      </c>
      <c r="B127" s="155"/>
      <c r="C127" s="155"/>
      <c r="D127" s="155"/>
      <c r="E127" s="155" t="s">
        <v>754</v>
      </c>
      <c r="F127" s="155">
        <v>7</v>
      </c>
      <c r="G127" s="155">
        <v>4000</v>
      </c>
      <c r="H127" s="155">
        <v>0</v>
      </c>
      <c r="I127" s="155">
        <v>0</v>
      </c>
      <c r="J127" s="155">
        <f t="shared" si="9"/>
        <v>4000</v>
      </c>
      <c r="K127" s="156" t="s">
        <v>612</v>
      </c>
      <c r="L127" s="17"/>
      <c r="M127" s="17"/>
      <c r="N127" s="17"/>
      <c r="O127" s="17"/>
    </row>
    <row r="128" spans="1:17">
      <c r="A128" s="17" t="s">
        <v>756</v>
      </c>
      <c r="B128" s="17"/>
      <c r="C128" s="17"/>
      <c r="D128" s="17"/>
      <c r="E128" s="17" t="s">
        <v>755</v>
      </c>
      <c r="F128" s="17">
        <v>7</v>
      </c>
      <c r="G128" s="17">
        <v>4000</v>
      </c>
      <c r="H128" s="17">
        <v>10000</v>
      </c>
      <c r="I128" s="17">
        <v>4000</v>
      </c>
      <c r="J128" s="17">
        <f t="shared" si="9"/>
        <v>10000</v>
      </c>
      <c r="K128" s="17"/>
      <c r="L128" s="17"/>
      <c r="M128" s="17"/>
      <c r="N128" s="17"/>
      <c r="O128" s="17"/>
    </row>
    <row r="129" spans="1:19">
      <c r="A129" s="155" t="s">
        <v>773</v>
      </c>
      <c r="B129" s="155"/>
      <c r="C129" s="155"/>
      <c r="D129" s="155"/>
      <c r="E129" s="155" t="s">
        <v>172</v>
      </c>
      <c r="F129" s="155">
        <v>7</v>
      </c>
      <c r="G129" s="155">
        <v>6000</v>
      </c>
      <c r="H129" s="155">
        <v>12000</v>
      </c>
      <c r="I129" s="155">
        <v>10100</v>
      </c>
      <c r="J129" s="155">
        <f t="shared" si="9"/>
        <v>7900</v>
      </c>
      <c r="K129" s="155"/>
      <c r="L129" s="17"/>
      <c r="M129" s="17"/>
      <c r="N129" s="17"/>
      <c r="O129" s="17"/>
      <c r="Q129" s="166">
        <v>500</v>
      </c>
    </row>
    <row r="130" spans="1:19">
      <c r="A130" s="17" t="s">
        <v>776</v>
      </c>
      <c r="B130" s="17"/>
      <c r="C130" s="17"/>
      <c r="D130" s="17"/>
      <c r="E130" s="17" t="s">
        <v>207</v>
      </c>
      <c r="F130" s="17">
        <v>6</v>
      </c>
      <c r="G130" s="17">
        <v>3000</v>
      </c>
      <c r="H130" s="17">
        <v>10500</v>
      </c>
      <c r="I130" s="17">
        <v>5500</v>
      </c>
      <c r="J130" s="17">
        <f t="shared" si="9"/>
        <v>8000</v>
      </c>
      <c r="K130" s="17"/>
      <c r="L130" s="17"/>
      <c r="M130" s="17"/>
      <c r="N130" s="17"/>
      <c r="O130" s="17"/>
      <c r="Q130" s="22">
        <v>8000</v>
      </c>
    </row>
    <row r="131" spans="1:19">
      <c r="A131" s="17"/>
      <c r="B131" s="17"/>
      <c r="C131" s="17"/>
      <c r="D131" s="17"/>
      <c r="E131" s="17" t="s">
        <v>775</v>
      </c>
      <c r="F131" s="17">
        <v>1</v>
      </c>
      <c r="G131" s="17"/>
      <c r="H131" s="17"/>
      <c r="I131" s="17"/>
      <c r="J131" s="17"/>
      <c r="K131" s="17"/>
      <c r="L131" s="17"/>
      <c r="M131" s="17"/>
      <c r="N131" s="17"/>
      <c r="O131" s="17"/>
    </row>
    <row r="132" spans="1:19">
      <c r="A132" s="155" t="s">
        <v>777</v>
      </c>
      <c r="B132" s="155"/>
      <c r="C132" s="155"/>
      <c r="D132" s="155"/>
      <c r="E132" s="155" t="s">
        <v>778</v>
      </c>
      <c r="F132" s="155">
        <v>5</v>
      </c>
      <c r="G132" s="155">
        <v>10000</v>
      </c>
      <c r="H132" s="155">
        <v>0</v>
      </c>
      <c r="I132" s="155">
        <v>10000</v>
      </c>
      <c r="J132" s="155">
        <f t="shared" ref="J132" si="10">G132+H132-I132</f>
        <v>0</v>
      </c>
      <c r="K132" s="156" t="s">
        <v>612</v>
      </c>
      <c r="L132" s="17"/>
      <c r="M132" s="17"/>
      <c r="N132" s="17"/>
      <c r="O132" s="17"/>
    </row>
    <row r="133" spans="1:19">
      <c r="A133" s="155"/>
      <c r="B133" s="155"/>
      <c r="C133" s="155"/>
      <c r="D133" s="155"/>
      <c r="E133" s="155" t="s">
        <v>185</v>
      </c>
      <c r="F133" s="155">
        <v>2</v>
      </c>
      <c r="G133" s="155"/>
      <c r="H133" s="155">
        <v>0</v>
      </c>
      <c r="I133" s="155"/>
      <c r="J133" s="155"/>
      <c r="K133" s="156" t="s">
        <v>612</v>
      </c>
      <c r="L133" s="17"/>
      <c r="M133" s="17"/>
      <c r="N133" s="17"/>
      <c r="O133" s="17"/>
      <c r="S133" s="17">
        <v>8</v>
      </c>
    </row>
    <row r="134" spans="1:19">
      <c r="A134" s="155"/>
      <c r="B134" s="155"/>
      <c r="C134" s="155"/>
      <c r="D134" s="155"/>
      <c r="E134" s="155" t="s">
        <v>186</v>
      </c>
      <c r="F134" s="155" t="s">
        <v>102</v>
      </c>
      <c r="G134" s="155"/>
      <c r="H134" s="155">
        <v>0</v>
      </c>
      <c r="I134" s="155"/>
      <c r="J134" s="155"/>
      <c r="K134" s="156" t="s">
        <v>612</v>
      </c>
      <c r="L134" s="17"/>
      <c r="M134" s="17"/>
      <c r="N134" s="17"/>
      <c r="O134" s="17"/>
      <c r="S134" s="17">
        <v>1</v>
      </c>
    </row>
    <row r="135" spans="1:19">
      <c r="A135" s="17" t="s">
        <v>839</v>
      </c>
      <c r="B135" s="17"/>
      <c r="C135" s="17"/>
      <c r="D135" s="17"/>
      <c r="E135" s="17" t="s">
        <v>187</v>
      </c>
      <c r="F135" s="17">
        <v>6</v>
      </c>
      <c r="G135" s="17">
        <v>10000</v>
      </c>
      <c r="H135" s="17">
        <v>25000</v>
      </c>
      <c r="I135" s="17">
        <v>22000</v>
      </c>
      <c r="J135" s="17">
        <f t="shared" ref="J135:J138" si="11">G135+H135-I135</f>
        <v>13000</v>
      </c>
      <c r="K135" s="17"/>
      <c r="L135" s="17"/>
      <c r="M135" s="17"/>
      <c r="N135" s="17"/>
      <c r="O135" s="17"/>
      <c r="S135" s="32">
        <v>4</v>
      </c>
    </row>
    <row r="136" spans="1:19">
      <c r="A136" s="17"/>
      <c r="B136" s="17"/>
      <c r="C136" s="17"/>
      <c r="D136" s="17"/>
      <c r="E136" s="17" t="s">
        <v>188</v>
      </c>
      <c r="F136" s="17">
        <v>5</v>
      </c>
      <c r="G136" s="17"/>
      <c r="H136" s="17"/>
      <c r="I136" s="17"/>
      <c r="J136" s="17"/>
      <c r="K136" s="17"/>
      <c r="L136" s="17"/>
      <c r="M136" s="17"/>
      <c r="N136" s="17"/>
      <c r="O136" s="17"/>
      <c r="S136" s="32">
        <v>5</v>
      </c>
    </row>
    <row r="137" spans="1:19">
      <c r="A137" s="107" t="s">
        <v>920</v>
      </c>
      <c r="B137" s="107"/>
      <c r="C137" s="107"/>
      <c r="D137" s="107"/>
      <c r="E137" s="107" t="s">
        <v>211</v>
      </c>
      <c r="F137" s="107">
        <v>6</v>
      </c>
      <c r="G137" s="107">
        <v>3500</v>
      </c>
      <c r="H137" s="107">
        <v>7000</v>
      </c>
      <c r="I137" s="107">
        <v>0</v>
      </c>
      <c r="J137" s="107">
        <f t="shared" si="11"/>
        <v>10500</v>
      </c>
      <c r="K137" s="167" t="s">
        <v>612</v>
      </c>
      <c r="L137" s="17"/>
      <c r="M137" s="17"/>
      <c r="N137" s="17"/>
      <c r="O137" s="17"/>
      <c r="S137" s="32">
        <v>3</v>
      </c>
    </row>
    <row r="138" spans="1:19">
      <c r="A138" s="17" t="s">
        <v>842</v>
      </c>
      <c r="B138" s="17"/>
      <c r="C138" s="17"/>
      <c r="D138" s="17"/>
      <c r="E138" s="17" t="s">
        <v>189</v>
      </c>
      <c r="F138" s="17">
        <v>6</v>
      </c>
      <c r="G138" s="17">
        <v>10000</v>
      </c>
      <c r="H138" s="17">
        <v>0</v>
      </c>
      <c r="I138" s="17">
        <v>4000</v>
      </c>
      <c r="J138" s="17">
        <f t="shared" si="11"/>
        <v>6000</v>
      </c>
      <c r="K138" s="17"/>
      <c r="L138" s="17"/>
      <c r="M138" s="17"/>
      <c r="N138" s="17"/>
      <c r="O138" s="17"/>
      <c r="S138" s="17">
        <v>6</v>
      </c>
    </row>
    <row r="139" spans="1:19">
      <c r="A139" s="17"/>
      <c r="B139" s="17"/>
      <c r="C139" s="17"/>
      <c r="D139" s="17"/>
      <c r="E139" s="17" t="s">
        <v>840</v>
      </c>
      <c r="F139" s="17">
        <v>5</v>
      </c>
      <c r="G139" s="17"/>
      <c r="H139" s="17"/>
      <c r="I139" s="17"/>
      <c r="J139" s="17"/>
      <c r="K139" s="17"/>
      <c r="L139" s="17"/>
      <c r="M139" s="17"/>
      <c r="N139" s="17"/>
      <c r="O139" s="17"/>
      <c r="S139" s="32">
        <v>7</v>
      </c>
    </row>
    <row r="140" spans="1:19">
      <c r="A140" s="17"/>
      <c r="B140" s="17"/>
      <c r="C140" s="17"/>
      <c r="D140" s="17"/>
      <c r="E140" s="17" t="s">
        <v>841</v>
      </c>
      <c r="F140" s="17">
        <v>1</v>
      </c>
      <c r="G140" s="17"/>
      <c r="H140" s="17"/>
      <c r="I140" s="17"/>
      <c r="J140" s="17"/>
      <c r="K140" s="17"/>
      <c r="L140" s="17"/>
      <c r="M140" s="17"/>
      <c r="N140" s="17"/>
      <c r="O140" s="17"/>
    </row>
    <row r="141" spans="1:19">
      <c r="A141" s="107" t="s">
        <v>843</v>
      </c>
      <c r="B141" s="107"/>
      <c r="C141" s="107"/>
      <c r="D141" s="107"/>
      <c r="E141" s="107" t="s">
        <v>210</v>
      </c>
      <c r="F141" s="107">
        <v>6</v>
      </c>
      <c r="G141" s="107">
        <v>0</v>
      </c>
      <c r="H141" s="107">
        <v>0</v>
      </c>
      <c r="I141" s="107">
        <v>0</v>
      </c>
      <c r="J141" s="107">
        <f t="shared" ref="J141:J142" si="12">G141+H141-I141</f>
        <v>0</v>
      </c>
      <c r="K141" s="107" t="s">
        <v>844</v>
      </c>
      <c r="L141" s="17"/>
      <c r="M141" s="17"/>
      <c r="N141" s="17"/>
      <c r="O141" s="17"/>
    </row>
    <row r="142" spans="1:19">
      <c r="A142" s="17" t="s">
        <v>847</v>
      </c>
      <c r="B142" s="17"/>
      <c r="C142" s="17"/>
      <c r="D142" s="17"/>
      <c r="E142" s="17" t="s">
        <v>192</v>
      </c>
      <c r="F142" s="17">
        <v>6</v>
      </c>
      <c r="G142" s="17">
        <v>14000</v>
      </c>
      <c r="H142" s="17">
        <v>24000</v>
      </c>
      <c r="I142" s="17">
        <v>23000</v>
      </c>
      <c r="J142" s="17">
        <f t="shared" si="12"/>
        <v>15000</v>
      </c>
      <c r="K142" s="17"/>
      <c r="L142" s="17"/>
      <c r="M142" s="17"/>
      <c r="N142" s="17"/>
      <c r="O142" s="17"/>
    </row>
    <row r="143" spans="1:19">
      <c r="A143" s="17"/>
      <c r="B143" s="17"/>
      <c r="C143" s="17"/>
      <c r="D143" s="17"/>
      <c r="E143" s="17" t="s">
        <v>845</v>
      </c>
      <c r="F143" s="17">
        <v>4</v>
      </c>
      <c r="G143" s="17"/>
      <c r="H143" s="17"/>
      <c r="I143" s="17"/>
      <c r="J143" s="17"/>
      <c r="K143" s="17"/>
      <c r="L143" s="17"/>
      <c r="M143" s="17"/>
      <c r="N143" s="17"/>
      <c r="O143" s="17"/>
    </row>
    <row r="144" spans="1:19">
      <c r="A144" s="17"/>
      <c r="B144" s="17"/>
      <c r="C144" s="17"/>
      <c r="D144" s="17"/>
      <c r="E144" s="17" t="s">
        <v>846</v>
      </c>
      <c r="F144" s="17" t="s">
        <v>848</v>
      </c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>
      <c r="A145" s="107" t="s">
        <v>850</v>
      </c>
      <c r="B145" s="107"/>
      <c r="C145" s="107"/>
      <c r="D145" s="107"/>
      <c r="E145" s="107" t="s">
        <v>849</v>
      </c>
      <c r="F145" s="107">
        <v>6</v>
      </c>
      <c r="G145" s="107">
        <v>14000</v>
      </c>
      <c r="H145" s="107">
        <v>8000</v>
      </c>
      <c r="I145" s="107">
        <v>22000</v>
      </c>
      <c r="J145" s="107">
        <f t="shared" ref="J145" si="13">G145+H145-I145</f>
        <v>0</v>
      </c>
      <c r="K145" s="107"/>
      <c r="L145" s="17"/>
      <c r="M145" s="17"/>
      <c r="N145" s="17"/>
      <c r="O145" s="17"/>
    </row>
    <row r="146" spans="1:15">
      <c r="A146" s="107"/>
      <c r="B146" s="107"/>
      <c r="C146" s="107"/>
      <c r="D146" s="107"/>
      <c r="E146" s="107" t="s">
        <v>851</v>
      </c>
      <c r="F146" s="107">
        <v>2</v>
      </c>
      <c r="G146" s="107"/>
      <c r="H146" s="107"/>
      <c r="I146" s="107"/>
      <c r="J146" s="107"/>
      <c r="K146" s="167" t="s">
        <v>612</v>
      </c>
      <c r="L146" s="17"/>
      <c r="M146" s="17"/>
      <c r="N146" s="17"/>
      <c r="O146" s="17"/>
    </row>
    <row r="147" spans="1:15">
      <c r="A147" s="17" t="s">
        <v>852</v>
      </c>
      <c r="B147" s="17"/>
      <c r="C147" s="17"/>
      <c r="D147" s="17"/>
      <c r="E147" s="17" t="s">
        <v>195</v>
      </c>
      <c r="F147" s="17">
        <v>6</v>
      </c>
      <c r="G147" s="17">
        <v>5000</v>
      </c>
      <c r="H147" s="17">
        <v>10000</v>
      </c>
      <c r="I147" s="17">
        <v>9500</v>
      </c>
      <c r="J147" s="17">
        <f t="shared" ref="J147:J148" si="14">G147+H147-I147</f>
        <v>5500</v>
      </c>
      <c r="K147" s="17"/>
      <c r="L147" s="17"/>
      <c r="M147" s="17"/>
      <c r="N147" s="17"/>
      <c r="O147" s="17"/>
    </row>
    <row r="148" spans="1:15">
      <c r="A148" s="107" t="s">
        <v>856</v>
      </c>
      <c r="B148" s="107"/>
      <c r="C148" s="107"/>
      <c r="D148" s="107"/>
      <c r="E148" s="107" t="s">
        <v>196</v>
      </c>
      <c r="F148" s="107">
        <v>6</v>
      </c>
      <c r="G148" s="107">
        <v>24700</v>
      </c>
      <c r="H148" s="107">
        <v>33500</v>
      </c>
      <c r="I148" s="107">
        <v>53200</v>
      </c>
      <c r="J148" s="107">
        <f t="shared" si="14"/>
        <v>5000</v>
      </c>
      <c r="K148" s="107"/>
      <c r="L148" s="17"/>
      <c r="M148" s="17"/>
      <c r="N148" s="17"/>
      <c r="O148" s="17"/>
    </row>
    <row r="149" spans="1:15">
      <c r="A149" s="107"/>
      <c r="B149" s="107"/>
      <c r="C149" s="107"/>
      <c r="D149" s="107"/>
      <c r="E149" s="107" t="s">
        <v>854</v>
      </c>
      <c r="F149" s="107">
        <v>3</v>
      </c>
      <c r="G149" s="107"/>
      <c r="H149" s="107"/>
      <c r="I149" s="107"/>
      <c r="J149" s="107"/>
      <c r="K149" s="107"/>
      <c r="L149" s="17"/>
      <c r="M149" s="17"/>
      <c r="N149" s="17"/>
      <c r="O149" s="17"/>
    </row>
    <row r="150" spans="1:15">
      <c r="A150" s="107"/>
      <c r="B150" s="107"/>
      <c r="C150" s="107"/>
      <c r="D150" s="107"/>
      <c r="E150" s="107" t="s">
        <v>853</v>
      </c>
      <c r="F150" s="107">
        <v>3</v>
      </c>
      <c r="G150" s="107"/>
      <c r="H150" s="107"/>
      <c r="I150" s="107"/>
      <c r="J150" s="107"/>
      <c r="K150" s="107"/>
      <c r="L150" s="17"/>
      <c r="M150" s="17"/>
      <c r="N150" s="17"/>
      <c r="O150" s="17"/>
    </row>
    <row r="151" spans="1:15">
      <c r="A151" s="107"/>
      <c r="B151" s="107"/>
      <c r="C151" s="107"/>
      <c r="D151" s="107"/>
      <c r="E151" s="107" t="s">
        <v>855</v>
      </c>
      <c r="F151" s="107" t="s">
        <v>102</v>
      </c>
      <c r="G151" s="107"/>
      <c r="H151" s="107"/>
      <c r="I151" s="107"/>
      <c r="J151" s="107"/>
      <c r="K151" s="107"/>
      <c r="L151" s="17"/>
      <c r="M151" s="17"/>
      <c r="N151" s="17"/>
      <c r="O151" s="17"/>
    </row>
    <row r="152" spans="1:15">
      <c r="A152" s="17" t="s">
        <v>352</v>
      </c>
      <c r="B152" s="17"/>
      <c r="C152" s="17"/>
      <c r="D152" s="17"/>
      <c r="E152" s="17" t="s">
        <v>857</v>
      </c>
      <c r="F152" s="17">
        <v>6</v>
      </c>
      <c r="G152" s="17">
        <v>15000</v>
      </c>
      <c r="H152" s="17">
        <v>20000</v>
      </c>
      <c r="I152" s="17">
        <v>12000</v>
      </c>
      <c r="J152" s="17">
        <f t="shared" ref="J152" si="15">G152+H152-I152</f>
        <v>23000</v>
      </c>
      <c r="K152" s="17"/>
      <c r="L152" s="17"/>
      <c r="M152" s="17"/>
      <c r="N152" s="17"/>
      <c r="O152" s="17"/>
    </row>
    <row r="153" spans="1:15">
      <c r="A153" s="17"/>
      <c r="B153" s="17"/>
      <c r="C153" s="17"/>
      <c r="D153" s="17"/>
      <c r="E153" s="17" t="s">
        <v>213</v>
      </c>
      <c r="F153" s="17">
        <v>4</v>
      </c>
      <c r="G153" s="17"/>
      <c r="H153" s="17"/>
      <c r="I153" s="17"/>
      <c r="J153" s="17"/>
      <c r="K153" s="17"/>
      <c r="L153" s="17"/>
      <c r="M153" s="17"/>
      <c r="N153" s="17"/>
      <c r="O153" s="17"/>
    </row>
  </sheetData>
  <mergeCells count="2">
    <mergeCell ref="A1:K1"/>
    <mergeCell ref="L1:N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R299"/>
  <sheetViews>
    <sheetView zoomScaleNormal="100" workbookViewId="0">
      <pane xSplit="7" ySplit="14" topLeftCell="J203" activePane="bottomRight" state="frozen"/>
      <selection pane="topRight" activeCell="H1" sqref="H1"/>
      <selection pane="bottomLeft" activeCell="A15" sqref="A15"/>
      <selection pane="bottomRight" activeCell="O4" sqref="O4"/>
    </sheetView>
  </sheetViews>
  <sheetFormatPr defaultRowHeight="15"/>
  <cols>
    <col min="1" max="1" width="29.28515625" bestFit="1" customWidth="1"/>
    <col min="2" max="2" width="23.42578125" bestFit="1" customWidth="1"/>
    <col min="3" max="3" width="5.140625" bestFit="1" customWidth="1"/>
    <col min="4" max="4" width="13.28515625" customWidth="1"/>
    <col min="5" max="5" width="17.5703125" bestFit="1" customWidth="1"/>
    <col min="8" max="8" width="14.7109375" customWidth="1"/>
    <col min="9" max="9" width="12.5703125" bestFit="1" customWidth="1"/>
    <col min="12" max="12" width="15.5703125" bestFit="1" customWidth="1"/>
  </cols>
  <sheetData>
    <row r="1" spans="1:16">
      <c r="A1" s="283" t="s">
        <v>621</v>
      </c>
      <c r="B1" s="283"/>
      <c r="C1" s="283"/>
      <c r="D1" s="283"/>
      <c r="E1" s="283"/>
      <c r="F1" s="283"/>
      <c r="G1" s="283"/>
      <c r="H1" s="283"/>
      <c r="I1" s="284" t="s">
        <v>990</v>
      </c>
      <c r="J1" s="285"/>
      <c r="K1" s="286"/>
      <c r="L1" s="154"/>
    </row>
    <row r="2" spans="1:16">
      <c r="A2" s="154" t="s">
        <v>619</v>
      </c>
      <c r="B2" s="154" t="s">
        <v>61</v>
      </c>
      <c r="C2" s="154" t="s">
        <v>573</v>
      </c>
      <c r="D2" s="154" t="s">
        <v>620</v>
      </c>
      <c r="E2" s="154" t="s">
        <v>639</v>
      </c>
      <c r="F2" s="154" t="s">
        <v>581</v>
      </c>
      <c r="G2" s="154" t="s">
        <v>30</v>
      </c>
      <c r="H2" s="154" t="s">
        <v>11</v>
      </c>
      <c r="I2" s="154" t="s">
        <v>31</v>
      </c>
      <c r="J2" s="154" t="s">
        <v>581</v>
      </c>
      <c r="K2" s="154" t="s">
        <v>30</v>
      </c>
      <c r="L2" s="154"/>
      <c r="O2" s="165" t="s">
        <v>835</v>
      </c>
      <c r="P2">
        <v>884400</v>
      </c>
    </row>
    <row r="3" spans="1:16">
      <c r="A3" s="154"/>
      <c r="B3" s="154"/>
      <c r="C3" s="154"/>
      <c r="D3" s="154">
        <f>SUM(D4:D299)</f>
        <v>1279000</v>
      </c>
      <c r="E3" s="154">
        <f>SUM(E4:E2999)</f>
        <v>1674193</v>
      </c>
      <c r="F3" s="154">
        <f>SUM(F4:F299)</f>
        <v>1574893</v>
      </c>
      <c r="G3" s="154">
        <f>SUM(G4:G299)</f>
        <v>1354300</v>
      </c>
      <c r="H3" s="154"/>
      <c r="I3" s="154">
        <f>SUM(I4:I299)</f>
        <v>395850</v>
      </c>
      <c r="J3" s="154">
        <f>SUM(J4:J299)</f>
        <v>262050</v>
      </c>
      <c r="K3" s="154">
        <f>SUM(K4:K299)</f>
        <v>125800</v>
      </c>
      <c r="L3" s="154" t="s">
        <v>992</v>
      </c>
      <c r="O3" t="s">
        <v>581</v>
      </c>
      <c r="P3">
        <v>1070000</v>
      </c>
    </row>
    <row r="4" spans="1:16">
      <c r="A4" s="155" t="s">
        <v>622</v>
      </c>
      <c r="B4" s="155" t="s">
        <v>65</v>
      </c>
      <c r="C4" s="155">
        <v>11</v>
      </c>
      <c r="D4" s="155">
        <v>21000</v>
      </c>
      <c r="E4" s="155">
        <v>0</v>
      </c>
      <c r="F4" s="155">
        <v>21000</v>
      </c>
      <c r="G4" s="155">
        <f>D4+E4-F4</f>
        <v>0</v>
      </c>
      <c r="H4" s="156" t="s">
        <v>623</v>
      </c>
      <c r="I4" s="17"/>
      <c r="J4" s="17"/>
      <c r="K4" s="17"/>
      <c r="L4" s="17"/>
      <c r="O4" t="s">
        <v>836</v>
      </c>
      <c r="P4">
        <v>1071500</v>
      </c>
    </row>
    <row r="5" spans="1:16">
      <c r="A5" s="155" t="s">
        <v>991</v>
      </c>
      <c r="B5" s="155" t="s">
        <v>67</v>
      </c>
      <c r="C5" s="155">
        <v>11</v>
      </c>
      <c r="D5" s="155">
        <v>10000</v>
      </c>
      <c r="E5" s="155">
        <v>0</v>
      </c>
      <c r="F5" s="155">
        <v>10000</v>
      </c>
      <c r="G5" s="155">
        <f>D5+E5-F5</f>
        <v>0</v>
      </c>
      <c r="H5" s="156" t="s">
        <v>623</v>
      </c>
      <c r="I5" s="17"/>
      <c r="J5" s="17"/>
      <c r="K5" s="17"/>
      <c r="L5" s="17"/>
    </row>
    <row r="6" spans="1:16">
      <c r="A6" s="155" t="s">
        <v>624</v>
      </c>
      <c r="B6" s="155" t="s">
        <v>625</v>
      </c>
      <c r="C6" s="155">
        <v>11</v>
      </c>
      <c r="D6" s="155">
        <v>6000</v>
      </c>
      <c r="E6" s="155">
        <v>0</v>
      </c>
      <c r="F6" s="155">
        <v>6000</v>
      </c>
      <c r="G6" s="155">
        <f t="shared" ref="G6:G64" si="0">D6+E6-F6</f>
        <v>0</v>
      </c>
      <c r="H6" s="156" t="s">
        <v>623</v>
      </c>
      <c r="I6" s="17"/>
      <c r="J6" s="17"/>
      <c r="K6" s="17"/>
      <c r="L6" s="17"/>
    </row>
    <row r="7" spans="1:16">
      <c r="A7" s="155" t="s">
        <v>626</v>
      </c>
      <c r="B7" s="155" t="s">
        <v>627</v>
      </c>
      <c r="C7" s="155">
        <v>11</v>
      </c>
      <c r="D7" s="155">
        <v>15000</v>
      </c>
      <c r="E7" s="155">
        <v>0</v>
      </c>
      <c r="F7" s="155">
        <v>15000</v>
      </c>
      <c r="G7" s="155">
        <f t="shared" si="0"/>
        <v>0</v>
      </c>
      <c r="H7" s="156" t="s">
        <v>623</v>
      </c>
      <c r="I7" s="17"/>
      <c r="J7" s="17"/>
      <c r="K7" s="17"/>
      <c r="L7" s="17"/>
    </row>
    <row r="8" spans="1:16">
      <c r="A8" s="155" t="s">
        <v>628</v>
      </c>
      <c r="B8" s="155" t="s">
        <v>77</v>
      </c>
      <c r="C8" s="155">
        <v>11</v>
      </c>
      <c r="D8" s="155">
        <v>12300</v>
      </c>
      <c r="E8" s="155">
        <v>0</v>
      </c>
      <c r="F8" s="155">
        <v>12300</v>
      </c>
      <c r="G8" s="155">
        <f t="shared" si="0"/>
        <v>0</v>
      </c>
      <c r="H8" s="156" t="s">
        <v>623</v>
      </c>
      <c r="I8" s="17"/>
      <c r="J8" s="17"/>
      <c r="K8" s="17"/>
      <c r="L8" s="17"/>
    </row>
    <row r="9" spans="1:16">
      <c r="A9" s="155" t="s">
        <v>629</v>
      </c>
      <c r="B9" s="155" t="s">
        <v>83</v>
      </c>
      <c r="C9" s="155">
        <v>11</v>
      </c>
      <c r="D9" s="155">
        <v>17000</v>
      </c>
      <c r="E9" s="155">
        <v>0</v>
      </c>
      <c r="F9" s="155">
        <v>17000</v>
      </c>
      <c r="G9" s="155">
        <f t="shared" si="0"/>
        <v>0</v>
      </c>
      <c r="H9" s="156" t="s">
        <v>623</v>
      </c>
      <c r="I9" s="17"/>
      <c r="J9" s="17"/>
      <c r="K9" s="17"/>
      <c r="L9" s="17"/>
    </row>
    <row r="10" spans="1:16">
      <c r="A10" s="155" t="s">
        <v>630</v>
      </c>
      <c r="B10" s="155" t="s">
        <v>70</v>
      </c>
      <c r="C10" s="155">
        <v>11</v>
      </c>
      <c r="D10" s="155">
        <v>13000</v>
      </c>
      <c r="E10" s="155">
        <v>0</v>
      </c>
      <c r="F10" s="155">
        <v>13000</v>
      </c>
      <c r="G10" s="155">
        <f t="shared" si="0"/>
        <v>0</v>
      </c>
      <c r="H10" s="156" t="s">
        <v>623</v>
      </c>
      <c r="I10" s="17"/>
      <c r="J10" s="17"/>
      <c r="K10" s="17"/>
      <c r="L10" s="17"/>
    </row>
    <row r="11" spans="1:16">
      <c r="A11" s="155"/>
      <c r="B11" s="155" t="s">
        <v>71</v>
      </c>
      <c r="C11" s="155">
        <v>11</v>
      </c>
      <c r="D11" s="155">
        <v>13000</v>
      </c>
      <c r="E11" s="155">
        <v>0</v>
      </c>
      <c r="F11" s="155">
        <v>13000</v>
      </c>
      <c r="G11" s="155">
        <f t="shared" si="0"/>
        <v>0</v>
      </c>
      <c r="H11" s="156" t="s">
        <v>623</v>
      </c>
      <c r="I11" s="17"/>
      <c r="J11" s="17"/>
      <c r="K11" s="17"/>
      <c r="L11" s="17"/>
    </row>
    <row r="12" spans="1:16">
      <c r="A12" s="155" t="s">
        <v>632</v>
      </c>
      <c r="B12" s="155" t="s">
        <v>631</v>
      </c>
      <c r="C12" s="155">
        <v>11</v>
      </c>
      <c r="D12" s="155">
        <v>21000</v>
      </c>
      <c r="E12" s="155">
        <v>0</v>
      </c>
      <c r="F12" s="155">
        <v>21000</v>
      </c>
      <c r="G12" s="155">
        <f t="shared" si="0"/>
        <v>0</v>
      </c>
      <c r="H12" s="156" t="s">
        <v>623</v>
      </c>
      <c r="I12" s="17"/>
      <c r="J12" s="17"/>
      <c r="K12" s="17"/>
      <c r="L12" s="17"/>
    </row>
    <row r="13" spans="1:16">
      <c r="A13" s="155" t="s">
        <v>634</v>
      </c>
      <c r="B13" s="155" t="s">
        <v>633</v>
      </c>
      <c r="C13" s="155">
        <v>11</v>
      </c>
      <c r="D13" s="155">
        <v>12000</v>
      </c>
      <c r="E13" s="155">
        <v>0</v>
      </c>
      <c r="F13" s="155">
        <v>12000</v>
      </c>
      <c r="G13" s="155">
        <f t="shared" si="0"/>
        <v>0</v>
      </c>
      <c r="H13" s="156" t="s">
        <v>623</v>
      </c>
      <c r="I13" s="17"/>
      <c r="J13" s="17"/>
      <c r="K13" s="17"/>
      <c r="L13" s="17"/>
    </row>
    <row r="14" spans="1:16">
      <c r="A14" s="17" t="s">
        <v>636</v>
      </c>
      <c r="B14" s="17" t="s">
        <v>64</v>
      </c>
      <c r="C14" s="17">
        <v>10</v>
      </c>
      <c r="D14" s="17">
        <v>15000</v>
      </c>
      <c r="E14" s="17">
        <v>16100</v>
      </c>
      <c r="F14" s="17">
        <v>31100</v>
      </c>
      <c r="G14" s="17">
        <f t="shared" si="0"/>
        <v>0</v>
      </c>
      <c r="H14" s="17" t="s">
        <v>635</v>
      </c>
      <c r="I14" s="17">
        <v>0</v>
      </c>
      <c r="J14" s="17">
        <v>0</v>
      </c>
      <c r="K14" s="17">
        <f>I14-J14-L14</f>
        <v>0</v>
      </c>
      <c r="L14" s="17">
        <v>0</v>
      </c>
    </row>
    <row r="15" spans="1:16">
      <c r="A15" s="107" t="s">
        <v>637</v>
      </c>
      <c r="B15" s="107" t="s">
        <v>84</v>
      </c>
      <c r="C15" s="107">
        <v>10</v>
      </c>
      <c r="D15" s="107">
        <v>7000</v>
      </c>
      <c r="E15" s="107">
        <v>17000</v>
      </c>
      <c r="F15" s="107">
        <v>14000</v>
      </c>
      <c r="G15" s="107">
        <f t="shared" si="0"/>
        <v>10000</v>
      </c>
      <c r="H15" s="107"/>
      <c r="I15" s="107">
        <v>0</v>
      </c>
      <c r="J15" s="107">
        <v>0</v>
      </c>
      <c r="K15" s="107">
        <f t="shared" ref="K15:K87" si="1">I15-J15-L15</f>
        <v>0</v>
      </c>
      <c r="L15" s="107">
        <v>0</v>
      </c>
      <c r="M15" s="168"/>
      <c r="N15" s="22">
        <v>7000</v>
      </c>
    </row>
    <row r="16" spans="1:16">
      <c r="A16" s="107"/>
      <c r="B16" s="107" t="s">
        <v>85</v>
      </c>
      <c r="C16" s="107"/>
      <c r="D16" s="107">
        <v>8000</v>
      </c>
      <c r="E16" s="107">
        <v>0</v>
      </c>
      <c r="F16" s="107">
        <v>8000</v>
      </c>
      <c r="G16" s="107">
        <f t="shared" si="0"/>
        <v>0</v>
      </c>
      <c r="H16" s="167" t="s">
        <v>612</v>
      </c>
      <c r="I16" s="107">
        <v>0</v>
      </c>
      <c r="J16" s="107">
        <v>0</v>
      </c>
      <c r="K16" s="107">
        <f t="shared" si="1"/>
        <v>0</v>
      </c>
      <c r="L16" s="107">
        <v>0</v>
      </c>
    </row>
    <row r="17" spans="1:13">
      <c r="A17" s="17" t="s">
        <v>638</v>
      </c>
      <c r="B17" s="17" t="s">
        <v>86</v>
      </c>
      <c r="C17" s="17">
        <v>10</v>
      </c>
      <c r="D17" s="17">
        <v>0</v>
      </c>
      <c r="E17" s="17">
        <v>0</v>
      </c>
      <c r="F17" s="17">
        <v>0</v>
      </c>
      <c r="G17" s="17">
        <f t="shared" si="0"/>
        <v>0</v>
      </c>
      <c r="H17" s="17"/>
      <c r="I17" s="17">
        <v>0</v>
      </c>
      <c r="J17" s="17">
        <v>0</v>
      </c>
      <c r="K17" s="17">
        <f t="shared" si="1"/>
        <v>0</v>
      </c>
      <c r="L17" s="17">
        <v>0</v>
      </c>
    </row>
    <row r="18" spans="1:13">
      <c r="A18" s="107" t="s">
        <v>640</v>
      </c>
      <c r="B18" s="107" t="s">
        <v>88</v>
      </c>
      <c r="C18" s="107">
        <v>10</v>
      </c>
      <c r="D18" s="107">
        <v>8000</v>
      </c>
      <c r="E18" s="107">
        <v>18000</v>
      </c>
      <c r="F18" s="107">
        <v>13000</v>
      </c>
      <c r="G18" s="107">
        <f t="shared" si="0"/>
        <v>13000</v>
      </c>
      <c r="H18" s="107"/>
      <c r="I18" s="107">
        <v>1200</v>
      </c>
      <c r="J18" s="107">
        <v>400</v>
      </c>
      <c r="K18" s="107">
        <f t="shared" si="1"/>
        <v>800</v>
      </c>
      <c r="L18" s="107">
        <v>0</v>
      </c>
    </row>
    <row r="19" spans="1:13">
      <c r="A19" s="17" t="s">
        <v>642</v>
      </c>
      <c r="B19" s="17" t="s">
        <v>641</v>
      </c>
      <c r="C19" s="17">
        <v>10</v>
      </c>
      <c r="D19" s="17">
        <v>5000</v>
      </c>
      <c r="E19" s="17">
        <v>13000</v>
      </c>
      <c r="F19" s="17"/>
      <c r="G19" s="17">
        <f t="shared" si="0"/>
        <v>18000</v>
      </c>
      <c r="H19" s="17"/>
      <c r="I19" s="17">
        <v>0</v>
      </c>
      <c r="J19" s="17">
        <v>0</v>
      </c>
      <c r="K19" s="17">
        <f t="shared" si="1"/>
        <v>0</v>
      </c>
      <c r="L19" s="17">
        <v>0</v>
      </c>
      <c r="M19" t="s">
        <v>993</v>
      </c>
    </row>
    <row r="20" spans="1:13">
      <c r="A20" s="107" t="s">
        <v>644</v>
      </c>
      <c r="B20" s="107" t="s">
        <v>643</v>
      </c>
      <c r="C20" s="107">
        <v>10</v>
      </c>
      <c r="D20" s="107">
        <v>15000</v>
      </c>
      <c r="E20" s="107">
        <v>0</v>
      </c>
      <c r="F20" s="107">
        <v>15000</v>
      </c>
      <c r="G20" s="107">
        <f t="shared" si="0"/>
        <v>0</v>
      </c>
      <c r="H20" s="167" t="s">
        <v>612</v>
      </c>
      <c r="I20" s="107">
        <v>0</v>
      </c>
      <c r="J20" s="107">
        <v>0</v>
      </c>
      <c r="K20" s="107">
        <f t="shared" si="1"/>
        <v>0</v>
      </c>
      <c r="L20" s="107">
        <v>0</v>
      </c>
    </row>
    <row r="21" spans="1:13">
      <c r="A21" s="17" t="s">
        <v>646</v>
      </c>
      <c r="B21" s="17" t="s">
        <v>645</v>
      </c>
      <c r="C21" s="17">
        <v>10</v>
      </c>
      <c r="D21" s="17">
        <v>11000</v>
      </c>
      <c r="E21" s="17">
        <v>17500</v>
      </c>
      <c r="F21" s="17">
        <v>28500</v>
      </c>
      <c r="G21" s="17">
        <f t="shared" si="0"/>
        <v>0</v>
      </c>
      <c r="H21" s="17"/>
      <c r="I21" s="17">
        <v>2500</v>
      </c>
      <c r="J21" s="17">
        <v>2500</v>
      </c>
      <c r="K21" s="17">
        <f t="shared" si="1"/>
        <v>0</v>
      </c>
      <c r="L21" s="17">
        <v>0</v>
      </c>
    </row>
    <row r="22" spans="1:13">
      <c r="A22" s="107" t="s">
        <v>647</v>
      </c>
      <c r="B22" s="107" t="s">
        <v>648</v>
      </c>
      <c r="C22" s="107">
        <v>10</v>
      </c>
      <c r="D22" s="107">
        <v>24000</v>
      </c>
      <c r="E22" s="107">
        <v>25000</v>
      </c>
      <c r="F22" s="107">
        <v>24000</v>
      </c>
      <c r="G22" s="107">
        <f t="shared" si="0"/>
        <v>25000</v>
      </c>
      <c r="H22" s="107"/>
      <c r="I22" s="107">
        <v>3500</v>
      </c>
      <c r="J22" s="107">
        <v>2500</v>
      </c>
      <c r="K22" s="107">
        <f t="shared" si="1"/>
        <v>0</v>
      </c>
      <c r="L22" s="107">
        <v>1000</v>
      </c>
    </row>
    <row r="23" spans="1:13">
      <c r="A23" s="107"/>
      <c r="B23" s="107" t="s">
        <v>649</v>
      </c>
      <c r="C23" s="107">
        <v>8</v>
      </c>
      <c r="D23" s="107"/>
      <c r="E23" s="107"/>
      <c r="F23" s="107"/>
      <c r="G23" s="107">
        <f t="shared" si="0"/>
        <v>0</v>
      </c>
      <c r="H23" s="107"/>
      <c r="I23" s="107">
        <v>3500</v>
      </c>
      <c r="J23" s="107">
        <v>2500</v>
      </c>
      <c r="K23" s="107">
        <f t="shared" si="1"/>
        <v>0</v>
      </c>
      <c r="L23" s="107">
        <v>1000</v>
      </c>
    </row>
    <row r="24" spans="1:13">
      <c r="A24" s="107"/>
      <c r="B24" s="107" t="s">
        <v>650</v>
      </c>
      <c r="C24" s="107">
        <v>6</v>
      </c>
      <c r="D24" s="107"/>
      <c r="E24" s="107"/>
      <c r="F24" s="107"/>
      <c r="G24" s="107">
        <f t="shared" si="0"/>
        <v>0</v>
      </c>
      <c r="H24" s="107"/>
      <c r="I24" s="107">
        <v>0</v>
      </c>
      <c r="J24" s="107">
        <v>0</v>
      </c>
      <c r="K24" s="107">
        <f t="shared" si="1"/>
        <v>0</v>
      </c>
      <c r="L24" s="107">
        <v>0</v>
      </c>
    </row>
    <row r="25" spans="1:13">
      <c r="A25" s="107"/>
      <c r="B25" s="107" t="s">
        <v>651</v>
      </c>
      <c r="C25" s="107" t="s">
        <v>102</v>
      </c>
      <c r="D25" s="107"/>
      <c r="E25" s="107"/>
      <c r="F25" s="107"/>
      <c r="G25" s="107">
        <f t="shared" si="0"/>
        <v>0</v>
      </c>
      <c r="H25" s="107"/>
      <c r="I25" s="107">
        <v>0</v>
      </c>
      <c r="J25" s="107">
        <v>0</v>
      </c>
      <c r="K25" s="107">
        <f t="shared" si="1"/>
        <v>0</v>
      </c>
      <c r="L25" s="107">
        <v>0</v>
      </c>
    </row>
    <row r="26" spans="1:13">
      <c r="A26" s="17" t="s">
        <v>626</v>
      </c>
      <c r="B26" s="17" t="s">
        <v>652</v>
      </c>
      <c r="C26" s="17">
        <v>10</v>
      </c>
      <c r="D26" s="17">
        <v>35000</v>
      </c>
      <c r="E26" s="17">
        <v>30000</v>
      </c>
      <c r="F26" s="17">
        <v>35000</v>
      </c>
      <c r="G26" s="17">
        <f t="shared" si="0"/>
        <v>30000</v>
      </c>
      <c r="H26" s="17"/>
      <c r="I26" s="17">
        <v>3000</v>
      </c>
      <c r="J26" s="17">
        <v>3000</v>
      </c>
      <c r="K26" s="17">
        <f t="shared" si="1"/>
        <v>0</v>
      </c>
      <c r="L26" s="17">
        <v>0</v>
      </c>
    </row>
    <row r="27" spans="1:13">
      <c r="A27" s="17"/>
      <c r="B27" s="17" t="s">
        <v>653</v>
      </c>
      <c r="C27" s="17">
        <v>7</v>
      </c>
      <c r="D27" s="17"/>
      <c r="E27" s="17"/>
      <c r="F27" s="17"/>
      <c r="G27" s="17">
        <f t="shared" si="0"/>
        <v>0</v>
      </c>
      <c r="H27" s="17"/>
      <c r="I27" s="17">
        <v>0</v>
      </c>
      <c r="J27" s="17">
        <v>0</v>
      </c>
      <c r="K27" s="17">
        <f t="shared" si="1"/>
        <v>0</v>
      </c>
      <c r="L27" s="17">
        <v>0</v>
      </c>
    </row>
    <row r="28" spans="1:13">
      <c r="A28" s="17"/>
      <c r="B28" s="17" t="s">
        <v>654</v>
      </c>
      <c r="C28" s="17">
        <v>10</v>
      </c>
      <c r="D28" s="17"/>
      <c r="E28" s="17"/>
      <c r="F28" s="17"/>
      <c r="G28" s="17">
        <f t="shared" si="0"/>
        <v>0</v>
      </c>
      <c r="H28" s="17"/>
      <c r="I28" s="17">
        <v>3000</v>
      </c>
      <c r="J28" s="17">
        <v>3000</v>
      </c>
      <c r="K28" s="17">
        <f t="shared" si="1"/>
        <v>0</v>
      </c>
      <c r="L28" s="17">
        <v>0</v>
      </c>
    </row>
    <row r="29" spans="1:13">
      <c r="A29" s="107" t="s">
        <v>655</v>
      </c>
      <c r="B29" s="107" t="s">
        <v>89</v>
      </c>
      <c r="C29" s="107">
        <v>10</v>
      </c>
      <c r="D29" s="107">
        <v>15000</v>
      </c>
      <c r="E29" s="107">
        <v>10000</v>
      </c>
      <c r="F29" s="107">
        <v>14000</v>
      </c>
      <c r="G29" s="107">
        <f t="shared" si="0"/>
        <v>11000</v>
      </c>
      <c r="H29" s="107"/>
      <c r="I29" s="107">
        <v>0</v>
      </c>
      <c r="J29" s="107">
        <v>0</v>
      </c>
      <c r="K29" s="107">
        <f t="shared" si="1"/>
        <v>0</v>
      </c>
      <c r="L29" s="107">
        <v>0</v>
      </c>
    </row>
    <row r="30" spans="1:13">
      <c r="A30" s="17" t="s">
        <v>656</v>
      </c>
      <c r="B30" s="17" t="s">
        <v>90</v>
      </c>
      <c r="C30" s="17">
        <v>10</v>
      </c>
      <c r="D30" s="17">
        <v>14000</v>
      </c>
      <c r="E30" s="17">
        <v>17000</v>
      </c>
      <c r="F30" s="17">
        <v>14000</v>
      </c>
      <c r="G30" s="17">
        <f t="shared" si="0"/>
        <v>17000</v>
      </c>
      <c r="H30" s="17"/>
      <c r="I30" s="17">
        <v>0</v>
      </c>
      <c r="J30" s="17">
        <v>0</v>
      </c>
      <c r="K30" s="17">
        <f t="shared" si="1"/>
        <v>0</v>
      </c>
      <c r="L30" s="17">
        <v>0</v>
      </c>
    </row>
    <row r="31" spans="1:13">
      <c r="A31" s="17"/>
      <c r="B31" s="17" t="s">
        <v>91</v>
      </c>
      <c r="C31" s="17">
        <v>6</v>
      </c>
      <c r="D31" s="17">
        <v>10000</v>
      </c>
      <c r="E31" s="17">
        <v>0</v>
      </c>
      <c r="F31" s="17">
        <v>10000</v>
      </c>
      <c r="G31" s="17">
        <f t="shared" si="0"/>
        <v>0</v>
      </c>
      <c r="H31" s="33" t="s">
        <v>612</v>
      </c>
      <c r="I31" s="17">
        <v>0</v>
      </c>
      <c r="J31" s="17">
        <v>0</v>
      </c>
      <c r="K31" s="17">
        <f t="shared" si="1"/>
        <v>0</v>
      </c>
      <c r="L31" s="17">
        <v>0</v>
      </c>
    </row>
    <row r="32" spans="1:13">
      <c r="A32" s="107" t="s">
        <v>628</v>
      </c>
      <c r="B32" s="107" t="s">
        <v>78</v>
      </c>
      <c r="C32" s="107">
        <v>10</v>
      </c>
      <c r="D32" s="107">
        <v>5000</v>
      </c>
      <c r="E32" s="107">
        <v>15000</v>
      </c>
      <c r="F32" s="107">
        <v>10000</v>
      </c>
      <c r="G32" s="107">
        <f t="shared" si="0"/>
        <v>10000</v>
      </c>
      <c r="H32" s="107"/>
      <c r="I32" s="107">
        <v>3500</v>
      </c>
      <c r="J32" s="107">
        <v>2500</v>
      </c>
      <c r="K32" s="107">
        <f t="shared" si="1"/>
        <v>1000</v>
      </c>
      <c r="L32" s="107">
        <v>0</v>
      </c>
    </row>
    <row r="33" spans="1:14">
      <c r="A33" s="17" t="s">
        <v>659</v>
      </c>
      <c r="B33" s="17" t="s">
        <v>657</v>
      </c>
      <c r="C33" s="17">
        <v>10</v>
      </c>
      <c r="D33" s="17">
        <v>12000</v>
      </c>
      <c r="E33" s="17">
        <v>0</v>
      </c>
      <c r="F33" s="17">
        <v>12000</v>
      </c>
      <c r="G33" s="17">
        <f t="shared" si="0"/>
        <v>0</v>
      </c>
      <c r="H33" s="33" t="s">
        <v>612</v>
      </c>
      <c r="I33" s="17">
        <v>0</v>
      </c>
      <c r="J33" s="17">
        <v>0</v>
      </c>
      <c r="K33" s="17">
        <f t="shared" si="1"/>
        <v>0</v>
      </c>
      <c r="L33" s="17">
        <v>0</v>
      </c>
    </row>
    <row r="34" spans="1:14">
      <c r="A34" s="17"/>
      <c r="B34" s="17" t="s">
        <v>658</v>
      </c>
      <c r="C34" s="17">
        <v>2</v>
      </c>
      <c r="D34" s="17">
        <v>5000</v>
      </c>
      <c r="E34" s="17">
        <v>0</v>
      </c>
      <c r="F34" s="17">
        <v>5000</v>
      </c>
      <c r="G34" s="17">
        <f t="shared" si="0"/>
        <v>0</v>
      </c>
      <c r="H34" s="33" t="s">
        <v>612</v>
      </c>
      <c r="I34" s="17">
        <v>0</v>
      </c>
      <c r="J34" s="17">
        <v>0</v>
      </c>
      <c r="K34" s="17">
        <f t="shared" si="1"/>
        <v>0</v>
      </c>
      <c r="L34" s="17">
        <v>0</v>
      </c>
    </row>
    <row r="35" spans="1:14">
      <c r="A35" s="107" t="s">
        <v>661</v>
      </c>
      <c r="B35" s="107" t="s">
        <v>660</v>
      </c>
      <c r="C35" s="107">
        <v>10</v>
      </c>
      <c r="D35" s="107">
        <v>5000</v>
      </c>
      <c r="E35" s="107">
        <v>20000</v>
      </c>
      <c r="F35" s="107">
        <v>10000</v>
      </c>
      <c r="G35" s="107">
        <f t="shared" si="0"/>
        <v>15000</v>
      </c>
      <c r="H35" s="107"/>
      <c r="I35" s="107">
        <v>0</v>
      </c>
      <c r="J35" s="107">
        <v>0</v>
      </c>
      <c r="K35" s="107">
        <f t="shared" si="1"/>
        <v>0</v>
      </c>
      <c r="L35" s="107">
        <v>0</v>
      </c>
    </row>
    <row r="36" spans="1:14">
      <c r="A36" s="17" t="s">
        <v>665</v>
      </c>
      <c r="B36" s="17" t="s">
        <v>662</v>
      </c>
      <c r="C36" s="17">
        <v>10</v>
      </c>
      <c r="D36" s="17">
        <v>0</v>
      </c>
      <c r="E36" s="17"/>
      <c r="F36" s="17"/>
      <c r="G36" s="17">
        <f t="shared" si="0"/>
        <v>0</v>
      </c>
      <c r="H36" s="17"/>
      <c r="I36" s="17">
        <v>3500</v>
      </c>
      <c r="J36" s="17">
        <v>2500</v>
      </c>
      <c r="K36" s="17">
        <f t="shared" si="1"/>
        <v>1000</v>
      </c>
      <c r="L36" s="17">
        <v>0</v>
      </c>
    </row>
    <row r="37" spans="1:14">
      <c r="A37" s="17"/>
      <c r="B37" s="17" t="s">
        <v>105</v>
      </c>
      <c r="C37" s="17">
        <v>9</v>
      </c>
      <c r="D37" s="17">
        <v>10000</v>
      </c>
      <c r="E37" s="17">
        <v>33500</v>
      </c>
      <c r="F37" s="17">
        <v>43500</v>
      </c>
      <c r="G37" s="17">
        <f t="shared" si="0"/>
        <v>0</v>
      </c>
      <c r="H37" s="17" t="s">
        <v>664</v>
      </c>
      <c r="I37" s="17">
        <v>3500</v>
      </c>
      <c r="J37" s="17">
        <v>2500</v>
      </c>
      <c r="K37" s="17">
        <f t="shared" si="1"/>
        <v>1000</v>
      </c>
      <c r="L37" s="17">
        <v>0</v>
      </c>
    </row>
    <row r="38" spans="1:14">
      <c r="A38" s="107" t="s">
        <v>667</v>
      </c>
      <c r="B38" s="107" t="s">
        <v>666</v>
      </c>
      <c r="C38" s="107">
        <v>10</v>
      </c>
      <c r="D38" s="107">
        <v>0</v>
      </c>
      <c r="E38" s="107">
        <v>15000</v>
      </c>
      <c r="F38" s="107">
        <v>15000</v>
      </c>
      <c r="G38" s="107">
        <f t="shared" si="0"/>
        <v>0</v>
      </c>
      <c r="H38" s="107" t="s">
        <v>635</v>
      </c>
      <c r="I38" s="107">
        <v>1500</v>
      </c>
      <c r="J38" s="107">
        <v>1500</v>
      </c>
      <c r="K38" s="107">
        <f t="shared" si="1"/>
        <v>0</v>
      </c>
      <c r="L38" s="107">
        <v>0</v>
      </c>
    </row>
    <row r="39" spans="1:14">
      <c r="A39" s="17" t="s">
        <v>670</v>
      </c>
      <c r="B39" s="17" t="s">
        <v>668</v>
      </c>
      <c r="C39" s="17">
        <v>10</v>
      </c>
      <c r="D39" s="17">
        <v>0</v>
      </c>
      <c r="E39" s="17">
        <v>15000</v>
      </c>
      <c r="F39" s="17">
        <v>10000</v>
      </c>
      <c r="G39" s="17">
        <f t="shared" si="0"/>
        <v>5000</v>
      </c>
      <c r="H39" s="17"/>
      <c r="I39" s="17">
        <v>2900</v>
      </c>
      <c r="J39" s="17">
        <v>2500</v>
      </c>
      <c r="K39" s="17">
        <f t="shared" si="1"/>
        <v>400</v>
      </c>
      <c r="L39" s="17">
        <v>0</v>
      </c>
    </row>
    <row r="40" spans="1:14">
      <c r="A40" s="17"/>
      <c r="B40" s="17" t="s">
        <v>669</v>
      </c>
      <c r="C40" s="17">
        <v>7</v>
      </c>
      <c r="D40" s="17">
        <v>7000</v>
      </c>
      <c r="E40" s="17">
        <v>10000</v>
      </c>
      <c r="F40" s="17">
        <v>17000</v>
      </c>
      <c r="G40" s="17">
        <f t="shared" si="0"/>
        <v>0</v>
      </c>
      <c r="H40" s="17"/>
      <c r="I40" s="17">
        <v>2700</v>
      </c>
      <c r="J40" s="17">
        <v>2300</v>
      </c>
      <c r="K40" s="17">
        <f t="shared" si="1"/>
        <v>400</v>
      </c>
      <c r="L40" s="17">
        <v>0</v>
      </c>
    </row>
    <row r="41" spans="1:14">
      <c r="A41" s="107" t="s">
        <v>672</v>
      </c>
      <c r="B41" s="107" t="s">
        <v>671</v>
      </c>
      <c r="C41" s="107">
        <v>10</v>
      </c>
      <c r="D41" s="107">
        <v>0</v>
      </c>
      <c r="E41" s="107">
        <v>14000</v>
      </c>
      <c r="F41" s="107">
        <v>14000</v>
      </c>
      <c r="G41" s="107">
        <f t="shared" si="0"/>
        <v>0</v>
      </c>
      <c r="H41" s="107"/>
      <c r="I41" s="107">
        <v>3000</v>
      </c>
      <c r="J41" s="107">
        <v>3000</v>
      </c>
      <c r="K41" s="107">
        <f t="shared" si="1"/>
        <v>0</v>
      </c>
      <c r="L41" s="107">
        <v>0</v>
      </c>
      <c r="N41" s="22">
        <v>7000</v>
      </c>
    </row>
    <row r="42" spans="1:14">
      <c r="A42" s="17" t="s">
        <v>674</v>
      </c>
      <c r="B42" s="17" t="s">
        <v>673</v>
      </c>
      <c r="C42" s="17">
        <v>10</v>
      </c>
      <c r="D42" s="17">
        <v>0</v>
      </c>
      <c r="E42" s="17">
        <v>15000</v>
      </c>
      <c r="F42" s="17">
        <v>7000</v>
      </c>
      <c r="G42" s="17">
        <f t="shared" si="0"/>
        <v>8000</v>
      </c>
      <c r="H42" s="17"/>
      <c r="I42" s="17">
        <v>0</v>
      </c>
      <c r="J42" s="17">
        <v>0</v>
      </c>
      <c r="K42" s="17">
        <f t="shared" si="1"/>
        <v>0</v>
      </c>
      <c r="L42" s="17">
        <v>0</v>
      </c>
    </row>
    <row r="43" spans="1:14">
      <c r="A43" s="107" t="s">
        <v>675</v>
      </c>
      <c r="B43" s="107" t="s">
        <v>99</v>
      </c>
      <c r="C43" s="107">
        <v>9</v>
      </c>
      <c r="D43" s="107">
        <v>23400</v>
      </c>
      <c r="E43" s="107">
        <v>38000</v>
      </c>
      <c r="F43" s="107">
        <v>23400</v>
      </c>
      <c r="G43" s="107">
        <f t="shared" si="0"/>
        <v>38000</v>
      </c>
      <c r="H43" s="107" t="s">
        <v>663</v>
      </c>
      <c r="I43" s="107">
        <v>4200</v>
      </c>
      <c r="J43" s="107">
        <v>4200</v>
      </c>
      <c r="K43" s="107">
        <f t="shared" si="1"/>
        <v>0</v>
      </c>
      <c r="L43" s="107">
        <v>0</v>
      </c>
    </row>
    <row r="44" spans="1:14">
      <c r="A44" s="107"/>
      <c r="B44" s="107" t="s">
        <v>100</v>
      </c>
      <c r="C44" s="107">
        <v>9</v>
      </c>
      <c r="D44" s="107"/>
      <c r="E44" s="107"/>
      <c r="F44" s="107"/>
      <c r="G44" s="107">
        <f t="shared" si="0"/>
        <v>0</v>
      </c>
      <c r="H44" s="107"/>
      <c r="I44" s="107">
        <v>4200</v>
      </c>
      <c r="J44" s="107">
        <v>4200</v>
      </c>
      <c r="K44" s="107">
        <f t="shared" si="1"/>
        <v>0</v>
      </c>
      <c r="L44" s="107">
        <v>0</v>
      </c>
    </row>
    <row r="45" spans="1:14">
      <c r="A45" s="107"/>
      <c r="B45" s="107" t="s">
        <v>101</v>
      </c>
      <c r="C45" s="107">
        <v>2</v>
      </c>
      <c r="D45" s="107"/>
      <c r="E45" s="107"/>
      <c r="F45" s="107"/>
      <c r="G45" s="107">
        <f t="shared" si="0"/>
        <v>0</v>
      </c>
      <c r="H45" s="107"/>
      <c r="I45" s="107">
        <v>600</v>
      </c>
      <c r="J45" s="107">
        <v>600</v>
      </c>
      <c r="K45" s="107">
        <f t="shared" si="1"/>
        <v>0</v>
      </c>
      <c r="L45" s="107">
        <v>0</v>
      </c>
      <c r="M45" t="s">
        <v>993</v>
      </c>
    </row>
    <row r="46" spans="1:14">
      <c r="A46" s="33" t="s">
        <v>677</v>
      </c>
      <c r="B46" s="17" t="s">
        <v>676</v>
      </c>
      <c r="C46" s="33">
        <v>9</v>
      </c>
      <c r="D46" s="33">
        <v>7500</v>
      </c>
      <c r="E46" s="33">
        <v>20000</v>
      </c>
      <c r="F46" s="33">
        <v>7500</v>
      </c>
      <c r="G46" s="33">
        <f t="shared" si="0"/>
        <v>20000</v>
      </c>
      <c r="H46" s="33" t="s">
        <v>663</v>
      </c>
      <c r="I46" s="17">
        <v>4000</v>
      </c>
      <c r="J46" s="17">
        <v>3000</v>
      </c>
      <c r="K46" s="17">
        <f t="shared" si="1"/>
        <v>0</v>
      </c>
      <c r="L46" s="17">
        <v>1000</v>
      </c>
    </row>
    <row r="47" spans="1:14">
      <c r="A47" s="33"/>
      <c r="B47" s="17" t="s">
        <v>678</v>
      </c>
      <c r="C47" s="33">
        <v>8</v>
      </c>
      <c r="D47" s="33"/>
      <c r="E47" s="33"/>
      <c r="F47" s="33"/>
      <c r="G47" s="33">
        <f t="shared" si="0"/>
        <v>0</v>
      </c>
      <c r="H47" s="33"/>
      <c r="I47" s="17">
        <v>4000</v>
      </c>
      <c r="J47" s="17">
        <v>3000</v>
      </c>
      <c r="K47" s="17">
        <f t="shared" si="1"/>
        <v>0</v>
      </c>
      <c r="L47" s="17">
        <v>1000</v>
      </c>
    </row>
    <row r="48" spans="1:14">
      <c r="A48" s="107" t="s">
        <v>681</v>
      </c>
      <c r="B48" s="107" t="s">
        <v>732</v>
      </c>
      <c r="C48" s="107">
        <v>9</v>
      </c>
      <c r="D48" s="107">
        <v>24000</v>
      </c>
      <c r="E48" s="107">
        <v>30500</v>
      </c>
      <c r="F48" s="107">
        <v>36000</v>
      </c>
      <c r="G48" s="107">
        <f t="shared" si="0"/>
        <v>18500</v>
      </c>
      <c r="H48" s="107" t="s">
        <v>663</v>
      </c>
      <c r="I48" s="107">
        <v>3400</v>
      </c>
      <c r="J48" s="107">
        <v>3400</v>
      </c>
      <c r="K48" s="107">
        <f t="shared" si="1"/>
        <v>0</v>
      </c>
      <c r="L48" s="107">
        <v>0</v>
      </c>
      <c r="N48" s="166">
        <v>6500</v>
      </c>
    </row>
    <row r="49" spans="1:14">
      <c r="A49" s="107"/>
      <c r="B49" s="107" t="s">
        <v>679</v>
      </c>
      <c r="C49" s="107">
        <v>7</v>
      </c>
      <c r="D49" s="107"/>
      <c r="E49" s="107"/>
      <c r="F49" s="107"/>
      <c r="G49" s="107">
        <f t="shared" si="0"/>
        <v>0</v>
      </c>
      <c r="H49" s="107"/>
      <c r="I49" s="107">
        <v>3400</v>
      </c>
      <c r="J49" s="107">
        <v>3400</v>
      </c>
      <c r="K49" s="107">
        <f t="shared" si="1"/>
        <v>0</v>
      </c>
      <c r="L49" s="107">
        <v>0</v>
      </c>
    </row>
    <row r="50" spans="1:14">
      <c r="A50" s="107"/>
      <c r="B50" s="107" t="s">
        <v>680</v>
      </c>
      <c r="C50" s="107">
        <v>2</v>
      </c>
      <c r="D50" s="107"/>
      <c r="E50" s="107"/>
      <c r="F50" s="107"/>
      <c r="G50" s="107">
        <f t="shared" si="0"/>
        <v>0</v>
      </c>
      <c r="H50" s="107"/>
      <c r="I50" s="107">
        <v>3000</v>
      </c>
      <c r="J50" s="107">
        <v>3000</v>
      </c>
      <c r="K50" s="107">
        <f t="shared" si="1"/>
        <v>0</v>
      </c>
      <c r="L50" s="107">
        <v>0</v>
      </c>
    </row>
    <row r="51" spans="1:14">
      <c r="A51" s="17" t="s">
        <v>682</v>
      </c>
      <c r="B51" s="17" t="s">
        <v>109</v>
      </c>
      <c r="C51" s="17">
        <v>9</v>
      </c>
      <c r="D51" s="17">
        <v>12000</v>
      </c>
      <c r="E51" s="17">
        <v>18000</v>
      </c>
      <c r="F51" s="17">
        <v>20000</v>
      </c>
      <c r="G51" s="17">
        <f t="shared" si="0"/>
        <v>10000</v>
      </c>
      <c r="H51" s="17"/>
      <c r="I51" s="17">
        <v>2700</v>
      </c>
      <c r="J51" s="17">
        <v>2700</v>
      </c>
      <c r="K51" s="17">
        <f t="shared" si="1"/>
        <v>0</v>
      </c>
      <c r="L51" s="17">
        <v>0</v>
      </c>
      <c r="M51" t="s">
        <v>993</v>
      </c>
    </row>
    <row r="52" spans="1:14">
      <c r="A52" s="107" t="s">
        <v>685</v>
      </c>
      <c r="B52" s="107" t="s">
        <v>683</v>
      </c>
      <c r="C52" s="107">
        <v>9</v>
      </c>
      <c r="D52" s="107">
        <v>20000</v>
      </c>
      <c r="E52" s="169">
        <v>35000</v>
      </c>
      <c r="F52" s="107">
        <v>25000</v>
      </c>
      <c r="G52" s="107">
        <f t="shared" si="0"/>
        <v>30000</v>
      </c>
      <c r="H52" s="107" t="s">
        <v>663</v>
      </c>
      <c r="I52" s="107">
        <v>2800</v>
      </c>
      <c r="J52" s="107">
        <v>2800</v>
      </c>
      <c r="K52" s="107">
        <f t="shared" si="1"/>
        <v>0</v>
      </c>
      <c r="L52" s="107">
        <v>0</v>
      </c>
      <c r="M52" t="s">
        <v>993</v>
      </c>
    </row>
    <row r="53" spans="1:14">
      <c r="A53" s="107"/>
      <c r="B53" s="107" t="s">
        <v>111</v>
      </c>
      <c r="C53" s="107">
        <v>8</v>
      </c>
      <c r="D53" s="107"/>
      <c r="E53" s="107"/>
      <c r="F53" s="107"/>
      <c r="G53" s="107">
        <f t="shared" si="0"/>
        <v>0</v>
      </c>
      <c r="H53" s="107"/>
      <c r="I53" s="107">
        <v>2800</v>
      </c>
      <c r="J53" s="107">
        <v>2800</v>
      </c>
      <c r="K53" s="107">
        <f t="shared" si="1"/>
        <v>0</v>
      </c>
      <c r="L53" s="107">
        <v>0</v>
      </c>
    </row>
    <row r="54" spans="1:14">
      <c r="A54" s="107"/>
      <c r="B54" s="107" t="s">
        <v>684</v>
      </c>
      <c r="C54" s="107">
        <v>4</v>
      </c>
      <c r="D54" s="107"/>
      <c r="E54" s="107"/>
      <c r="F54" s="107"/>
      <c r="G54" s="107">
        <f t="shared" si="0"/>
        <v>0</v>
      </c>
      <c r="H54" s="107"/>
      <c r="I54" s="107">
        <v>0</v>
      </c>
      <c r="J54" s="107">
        <v>0</v>
      </c>
      <c r="K54" s="107">
        <f t="shared" si="1"/>
        <v>0</v>
      </c>
      <c r="L54" s="107">
        <v>0</v>
      </c>
    </row>
    <row r="55" spans="1:14">
      <c r="A55" s="17" t="s">
        <v>688</v>
      </c>
      <c r="B55" s="17" t="s">
        <v>113</v>
      </c>
      <c r="C55" s="17">
        <v>9</v>
      </c>
      <c r="D55" s="17">
        <v>11000</v>
      </c>
      <c r="E55" s="157">
        <v>30000</v>
      </c>
      <c r="F55" s="17">
        <v>11000</v>
      </c>
      <c r="G55" s="17">
        <f t="shared" si="0"/>
        <v>30000</v>
      </c>
      <c r="H55" s="17" t="s">
        <v>663</v>
      </c>
      <c r="I55" s="17">
        <v>3200</v>
      </c>
      <c r="J55" s="17">
        <v>1600</v>
      </c>
      <c r="K55" s="17">
        <f t="shared" si="1"/>
        <v>1600</v>
      </c>
      <c r="L55" s="17">
        <v>0</v>
      </c>
      <c r="M55" t="s">
        <v>993</v>
      </c>
    </row>
    <row r="56" spans="1:14">
      <c r="A56" s="17"/>
      <c r="B56" s="17" t="s">
        <v>686</v>
      </c>
      <c r="C56" s="17">
        <v>5</v>
      </c>
      <c r="D56" s="17">
        <v>0</v>
      </c>
      <c r="E56" s="17"/>
      <c r="F56" s="17"/>
      <c r="G56" s="17">
        <f t="shared" si="0"/>
        <v>0</v>
      </c>
      <c r="H56" s="17"/>
      <c r="I56" s="17">
        <v>2800</v>
      </c>
      <c r="J56" s="17">
        <v>1200</v>
      </c>
      <c r="K56" s="17">
        <f t="shared" si="1"/>
        <v>1600</v>
      </c>
      <c r="L56" s="17">
        <v>0</v>
      </c>
      <c r="M56" t="s">
        <v>993</v>
      </c>
    </row>
    <row r="57" spans="1:14">
      <c r="A57" s="17"/>
      <c r="B57" s="17" t="s">
        <v>687</v>
      </c>
      <c r="C57" s="17" t="s">
        <v>98</v>
      </c>
      <c r="D57" s="17">
        <v>0</v>
      </c>
      <c r="E57" s="17"/>
      <c r="F57" s="17"/>
      <c r="G57" s="17">
        <f t="shared" si="0"/>
        <v>0</v>
      </c>
      <c r="H57" s="17"/>
      <c r="I57" s="17">
        <v>2000</v>
      </c>
      <c r="J57" s="17">
        <v>400</v>
      </c>
      <c r="K57" s="17">
        <f t="shared" si="1"/>
        <v>1600</v>
      </c>
      <c r="L57" s="17">
        <v>0</v>
      </c>
      <c r="M57" t="s">
        <v>993</v>
      </c>
    </row>
    <row r="58" spans="1:14">
      <c r="A58" s="107" t="s">
        <v>690</v>
      </c>
      <c r="B58" s="107" t="s">
        <v>689</v>
      </c>
      <c r="C58" s="107">
        <v>9</v>
      </c>
      <c r="D58" s="107">
        <v>10000</v>
      </c>
      <c r="E58" s="107">
        <v>33000</v>
      </c>
      <c r="F58" s="107">
        <v>30000</v>
      </c>
      <c r="G58" s="107">
        <f t="shared" si="0"/>
        <v>13000</v>
      </c>
      <c r="H58" s="107" t="s">
        <v>663</v>
      </c>
      <c r="I58" s="107">
        <v>5000</v>
      </c>
      <c r="J58" s="107">
        <v>3000</v>
      </c>
      <c r="K58" s="107">
        <f t="shared" si="1"/>
        <v>0</v>
      </c>
      <c r="L58" s="107">
        <v>2000</v>
      </c>
    </row>
    <row r="59" spans="1:14">
      <c r="A59" s="107"/>
      <c r="B59" s="107" t="s">
        <v>116</v>
      </c>
      <c r="C59" s="107">
        <v>5</v>
      </c>
      <c r="D59" s="107"/>
      <c r="E59" s="107"/>
      <c r="F59" s="107"/>
      <c r="G59" s="107">
        <f t="shared" si="0"/>
        <v>0</v>
      </c>
      <c r="H59" s="107"/>
      <c r="I59" s="107">
        <v>2500</v>
      </c>
      <c r="J59" s="107">
        <v>2500</v>
      </c>
      <c r="K59" s="107">
        <f t="shared" si="1"/>
        <v>0</v>
      </c>
      <c r="L59" s="107">
        <v>0</v>
      </c>
      <c r="M59" t="s">
        <v>994</v>
      </c>
    </row>
    <row r="60" spans="1:14">
      <c r="A60" s="107"/>
      <c r="B60" s="107" t="s">
        <v>115</v>
      </c>
      <c r="C60" s="107">
        <v>5</v>
      </c>
      <c r="D60" s="107"/>
      <c r="E60" s="107"/>
      <c r="F60" s="107"/>
      <c r="G60" s="107">
        <f t="shared" si="0"/>
        <v>0</v>
      </c>
      <c r="H60" s="107"/>
      <c r="I60" s="107">
        <v>2500</v>
      </c>
      <c r="J60" s="107">
        <v>2500</v>
      </c>
      <c r="K60" s="107">
        <f t="shared" si="1"/>
        <v>0</v>
      </c>
      <c r="L60" s="107">
        <v>0</v>
      </c>
      <c r="M60" t="s">
        <v>994</v>
      </c>
    </row>
    <row r="61" spans="1:14">
      <c r="A61" s="17" t="s">
        <v>692</v>
      </c>
      <c r="B61" s="17" t="s">
        <v>691</v>
      </c>
      <c r="C61" s="17">
        <v>9</v>
      </c>
      <c r="D61" s="17">
        <v>0</v>
      </c>
      <c r="E61" s="17">
        <v>12000</v>
      </c>
      <c r="F61" s="17">
        <v>2000</v>
      </c>
      <c r="G61" s="17">
        <f t="shared" si="0"/>
        <v>10000</v>
      </c>
      <c r="H61" s="17"/>
      <c r="I61" s="17">
        <v>1500</v>
      </c>
      <c r="J61" s="17">
        <v>1500</v>
      </c>
      <c r="K61" s="17">
        <f t="shared" si="1"/>
        <v>0</v>
      </c>
      <c r="L61" s="17">
        <v>0</v>
      </c>
    </row>
    <row r="62" spans="1:14">
      <c r="A62" s="107" t="s">
        <v>693</v>
      </c>
      <c r="B62" s="107" t="s">
        <v>694</v>
      </c>
      <c r="C62" s="107">
        <v>8</v>
      </c>
      <c r="D62" s="107">
        <v>0</v>
      </c>
      <c r="E62" s="107"/>
      <c r="F62" s="107"/>
      <c r="G62" s="107">
        <f t="shared" si="0"/>
        <v>0</v>
      </c>
      <c r="H62" s="107" t="s">
        <v>663</v>
      </c>
      <c r="I62" s="107">
        <v>0</v>
      </c>
      <c r="J62" s="107">
        <v>0</v>
      </c>
      <c r="K62" s="107">
        <f t="shared" si="1"/>
        <v>0</v>
      </c>
      <c r="L62" s="107">
        <v>0</v>
      </c>
    </row>
    <row r="63" spans="1:14">
      <c r="A63" s="107"/>
      <c r="B63" s="107" t="s">
        <v>118</v>
      </c>
      <c r="C63" s="107">
        <v>7</v>
      </c>
      <c r="D63" s="107">
        <v>13500</v>
      </c>
      <c r="E63" s="107">
        <v>13000</v>
      </c>
      <c r="F63" s="107">
        <v>11000</v>
      </c>
      <c r="G63" s="107">
        <f t="shared" si="0"/>
        <v>15500</v>
      </c>
      <c r="H63" s="107"/>
      <c r="I63" s="107">
        <v>0</v>
      </c>
      <c r="J63" s="107">
        <v>0</v>
      </c>
      <c r="K63" s="107">
        <f t="shared" si="1"/>
        <v>0</v>
      </c>
      <c r="L63" s="107">
        <v>0</v>
      </c>
    </row>
    <row r="64" spans="1:14">
      <c r="A64" s="17" t="s">
        <v>696</v>
      </c>
      <c r="B64" s="17" t="s">
        <v>695</v>
      </c>
      <c r="C64" s="17">
        <v>8</v>
      </c>
      <c r="D64" s="17">
        <v>22000</v>
      </c>
      <c r="E64" s="17">
        <v>44000</v>
      </c>
      <c r="F64" s="17">
        <v>41000</v>
      </c>
      <c r="G64" s="17">
        <f t="shared" si="0"/>
        <v>25000</v>
      </c>
      <c r="H64" s="17" t="s">
        <v>663</v>
      </c>
      <c r="I64" s="17">
        <v>0</v>
      </c>
      <c r="J64" s="17">
        <v>0</v>
      </c>
      <c r="K64" s="17">
        <f t="shared" si="1"/>
        <v>0</v>
      </c>
      <c r="L64" s="17">
        <v>0</v>
      </c>
      <c r="N64" s="22">
        <v>5000</v>
      </c>
    </row>
    <row r="65" spans="1:14">
      <c r="A65" s="17"/>
      <c r="B65" s="17" t="s">
        <v>697</v>
      </c>
      <c r="C65" s="17">
        <v>8</v>
      </c>
      <c r="D65" s="17"/>
      <c r="E65" s="17"/>
      <c r="F65" s="17"/>
      <c r="G65" s="17"/>
      <c r="H65" s="17"/>
      <c r="I65" s="17">
        <v>0</v>
      </c>
      <c r="J65" s="17">
        <v>0</v>
      </c>
      <c r="K65" s="17">
        <f t="shared" si="1"/>
        <v>0</v>
      </c>
      <c r="L65" s="17">
        <v>0</v>
      </c>
    </row>
    <row r="66" spans="1:14">
      <c r="A66" s="17"/>
      <c r="B66" s="17" t="s">
        <v>698</v>
      </c>
      <c r="C66" s="17">
        <v>5</v>
      </c>
      <c r="D66" s="17"/>
      <c r="E66" s="17"/>
      <c r="F66" s="17"/>
      <c r="G66" s="17"/>
      <c r="H66" s="17"/>
      <c r="I66" s="17">
        <v>0</v>
      </c>
      <c r="J66" s="17">
        <v>0</v>
      </c>
      <c r="K66" s="17">
        <f t="shared" si="1"/>
        <v>0</v>
      </c>
      <c r="L66" s="17">
        <v>0</v>
      </c>
    </row>
    <row r="67" spans="1:14">
      <c r="A67" s="17"/>
      <c r="B67" s="17" t="s">
        <v>699</v>
      </c>
      <c r="C67" s="17" t="s">
        <v>102</v>
      </c>
      <c r="D67" s="17"/>
      <c r="E67" s="17"/>
      <c r="F67" s="17"/>
      <c r="G67" s="17"/>
      <c r="H67" s="17"/>
      <c r="I67" s="17">
        <v>0</v>
      </c>
      <c r="J67" s="17">
        <v>0</v>
      </c>
      <c r="K67" s="17">
        <f t="shared" si="1"/>
        <v>0</v>
      </c>
      <c r="L67" s="17">
        <v>0</v>
      </c>
    </row>
    <row r="68" spans="1:14">
      <c r="A68" s="107" t="s">
        <v>700</v>
      </c>
      <c r="B68" s="107" t="s">
        <v>125</v>
      </c>
      <c r="C68" s="107">
        <v>8</v>
      </c>
      <c r="D68" s="107">
        <v>45000</v>
      </c>
      <c r="E68" s="107">
        <v>50000</v>
      </c>
      <c r="F68" s="107">
        <v>59000</v>
      </c>
      <c r="G68" s="107">
        <f t="shared" ref="G68" si="2">D68+E68-F68</f>
        <v>36000</v>
      </c>
      <c r="H68" s="107" t="s">
        <v>663</v>
      </c>
      <c r="I68" s="107">
        <v>2650</v>
      </c>
      <c r="J68" s="107">
        <v>2650</v>
      </c>
      <c r="K68" s="107">
        <f t="shared" si="1"/>
        <v>0</v>
      </c>
      <c r="L68" s="107">
        <v>0</v>
      </c>
      <c r="N68" s="22">
        <v>2000</v>
      </c>
    </row>
    <row r="69" spans="1:14">
      <c r="A69" s="107"/>
      <c r="B69" s="107" t="s">
        <v>126</v>
      </c>
      <c r="C69" s="107">
        <v>8</v>
      </c>
      <c r="D69" s="107"/>
      <c r="E69" s="107"/>
      <c r="F69" s="107"/>
      <c r="G69" s="107"/>
      <c r="H69" s="107"/>
      <c r="I69" s="107">
        <v>2650</v>
      </c>
      <c r="J69" s="107">
        <v>2650</v>
      </c>
      <c r="K69" s="107">
        <f t="shared" si="1"/>
        <v>0</v>
      </c>
      <c r="L69" s="107">
        <v>0</v>
      </c>
    </row>
    <row r="70" spans="1:14">
      <c r="A70" s="107"/>
      <c r="B70" s="107" t="s">
        <v>128</v>
      </c>
      <c r="C70" s="107">
        <v>6</v>
      </c>
      <c r="D70" s="107"/>
      <c r="E70" s="107"/>
      <c r="F70" s="107"/>
      <c r="G70" s="107"/>
      <c r="H70" s="107"/>
      <c r="I70" s="107">
        <v>1950</v>
      </c>
      <c r="J70" s="107">
        <v>1950</v>
      </c>
      <c r="K70" s="107">
        <f t="shared" si="1"/>
        <v>0</v>
      </c>
      <c r="L70" s="107">
        <v>0</v>
      </c>
    </row>
    <row r="71" spans="1:14">
      <c r="A71" s="107"/>
      <c r="B71" s="107" t="s">
        <v>129</v>
      </c>
      <c r="C71" s="107">
        <v>1</v>
      </c>
      <c r="D71" s="107"/>
      <c r="E71" s="107"/>
      <c r="F71" s="107"/>
      <c r="G71" s="107"/>
      <c r="H71" s="107"/>
      <c r="I71" s="107">
        <v>1850</v>
      </c>
      <c r="J71" s="107">
        <v>1850</v>
      </c>
      <c r="K71" s="107">
        <f t="shared" si="1"/>
        <v>0</v>
      </c>
      <c r="L71" s="107">
        <v>0</v>
      </c>
    </row>
    <row r="72" spans="1:14">
      <c r="A72" s="107"/>
      <c r="B72" s="107" t="s">
        <v>127</v>
      </c>
      <c r="C72" s="107">
        <v>6</v>
      </c>
      <c r="D72" s="107"/>
      <c r="E72" s="107"/>
      <c r="F72" s="107"/>
      <c r="G72" s="107"/>
      <c r="H72" s="107"/>
      <c r="I72" s="107">
        <v>2250</v>
      </c>
      <c r="J72" s="107">
        <v>2250</v>
      </c>
      <c r="K72" s="107">
        <f t="shared" si="1"/>
        <v>0</v>
      </c>
      <c r="L72" s="107">
        <v>0</v>
      </c>
    </row>
    <row r="73" spans="1:14">
      <c r="A73" s="33" t="s">
        <v>702</v>
      </c>
      <c r="B73" s="17" t="s">
        <v>703</v>
      </c>
      <c r="C73" s="17">
        <v>8</v>
      </c>
      <c r="D73" s="17"/>
      <c r="E73" s="17"/>
      <c r="F73" s="17"/>
      <c r="G73" s="17"/>
      <c r="H73" s="17" t="s">
        <v>663</v>
      </c>
      <c r="I73" s="17">
        <v>0</v>
      </c>
      <c r="J73" s="17">
        <v>0</v>
      </c>
      <c r="K73" s="17">
        <f t="shared" si="1"/>
        <v>0</v>
      </c>
      <c r="L73" s="17">
        <v>0</v>
      </c>
    </row>
    <row r="74" spans="1:14">
      <c r="A74" s="17"/>
      <c r="B74" s="17" t="s">
        <v>701</v>
      </c>
      <c r="C74" s="17">
        <v>6</v>
      </c>
      <c r="D74" s="17">
        <v>13000</v>
      </c>
      <c r="E74" s="17">
        <v>14000</v>
      </c>
      <c r="F74" s="17">
        <v>6000</v>
      </c>
      <c r="G74" s="17">
        <f t="shared" ref="G74:G85" si="3">D74+E74-F74</f>
        <v>21000</v>
      </c>
      <c r="H74" s="17"/>
      <c r="I74" s="17">
        <v>0</v>
      </c>
      <c r="J74" s="17">
        <v>0</v>
      </c>
      <c r="K74" s="17">
        <f t="shared" si="1"/>
        <v>0</v>
      </c>
      <c r="L74" s="17">
        <v>0</v>
      </c>
    </row>
    <row r="75" spans="1:14">
      <c r="A75" s="167" t="s">
        <v>837</v>
      </c>
      <c r="B75" s="107" t="s">
        <v>154</v>
      </c>
      <c r="C75" s="107">
        <v>8</v>
      </c>
      <c r="D75" s="107">
        <v>15600</v>
      </c>
      <c r="E75" s="107">
        <v>22000</v>
      </c>
      <c r="F75" s="107">
        <v>19600</v>
      </c>
      <c r="G75" s="107">
        <f t="shared" si="3"/>
        <v>18000</v>
      </c>
      <c r="H75" s="107" t="s">
        <v>663</v>
      </c>
      <c r="I75" s="107">
        <v>0</v>
      </c>
      <c r="J75" s="107">
        <v>0</v>
      </c>
      <c r="K75" s="107">
        <f t="shared" si="1"/>
        <v>0</v>
      </c>
      <c r="L75" s="107">
        <v>0</v>
      </c>
    </row>
    <row r="76" spans="1:14">
      <c r="A76" s="107"/>
      <c r="B76" s="107" t="s">
        <v>155</v>
      </c>
      <c r="C76" s="107">
        <v>4</v>
      </c>
      <c r="D76" s="107"/>
      <c r="E76" s="107"/>
      <c r="F76" s="107"/>
      <c r="G76" s="107"/>
      <c r="H76" s="107"/>
      <c r="I76" s="107">
        <v>0</v>
      </c>
      <c r="J76" s="107">
        <v>0</v>
      </c>
      <c r="K76" s="107">
        <f t="shared" si="1"/>
        <v>0</v>
      </c>
      <c r="L76" s="107">
        <v>0</v>
      </c>
    </row>
    <row r="77" spans="1:14">
      <c r="A77" s="17" t="s">
        <v>706</v>
      </c>
      <c r="B77" s="17" t="s">
        <v>704</v>
      </c>
      <c r="C77" s="17">
        <v>8</v>
      </c>
      <c r="D77" s="17">
        <v>18300</v>
      </c>
      <c r="E77" s="17">
        <v>22000</v>
      </c>
      <c r="F77" s="17">
        <v>20300</v>
      </c>
      <c r="G77" s="17">
        <f t="shared" si="3"/>
        <v>20000</v>
      </c>
      <c r="H77" s="17" t="s">
        <v>663</v>
      </c>
      <c r="I77" s="17">
        <v>2800</v>
      </c>
      <c r="J77" s="17">
        <v>2800</v>
      </c>
      <c r="K77" s="17">
        <f t="shared" si="1"/>
        <v>0</v>
      </c>
      <c r="L77" s="17">
        <v>0</v>
      </c>
      <c r="N77" s="22">
        <v>4000</v>
      </c>
    </row>
    <row r="78" spans="1:14">
      <c r="A78" s="17"/>
      <c r="B78" s="17" t="s">
        <v>705</v>
      </c>
      <c r="C78" s="17">
        <v>1</v>
      </c>
      <c r="D78" s="17"/>
      <c r="E78" s="17"/>
      <c r="F78" s="17"/>
      <c r="G78" s="17"/>
      <c r="H78" s="17"/>
      <c r="I78" s="17">
        <v>2400</v>
      </c>
      <c r="J78" s="17">
        <v>2400</v>
      </c>
      <c r="K78" s="17">
        <f t="shared" si="1"/>
        <v>0</v>
      </c>
      <c r="L78" s="17">
        <v>0</v>
      </c>
    </row>
    <row r="79" spans="1:14">
      <c r="A79" s="107" t="s">
        <v>708</v>
      </c>
      <c r="B79" s="107" t="s">
        <v>136</v>
      </c>
      <c r="C79" s="107">
        <v>6</v>
      </c>
      <c r="D79" s="107">
        <v>10000</v>
      </c>
      <c r="E79" s="107">
        <v>0</v>
      </c>
      <c r="F79" s="107">
        <v>10000</v>
      </c>
      <c r="G79" s="107">
        <f t="shared" si="3"/>
        <v>0</v>
      </c>
      <c r="H79" s="167" t="s">
        <v>612</v>
      </c>
      <c r="I79" s="107">
        <v>0</v>
      </c>
      <c r="J79" s="107">
        <v>0</v>
      </c>
      <c r="K79" s="107">
        <f t="shared" si="1"/>
        <v>0</v>
      </c>
      <c r="L79" s="107">
        <v>0</v>
      </c>
    </row>
    <row r="80" spans="1:14">
      <c r="A80" s="107"/>
      <c r="B80" s="107" t="s">
        <v>707</v>
      </c>
      <c r="C80" s="107">
        <v>5</v>
      </c>
      <c r="D80" s="107">
        <v>4000</v>
      </c>
      <c r="E80" s="107">
        <v>10000</v>
      </c>
      <c r="F80" s="107">
        <v>3000</v>
      </c>
      <c r="G80" s="107">
        <f t="shared" si="3"/>
        <v>11000</v>
      </c>
      <c r="H80" s="107"/>
      <c r="I80" s="107">
        <v>3000</v>
      </c>
      <c r="J80" s="107">
        <v>3000</v>
      </c>
      <c r="K80" s="107">
        <f t="shared" si="1"/>
        <v>0</v>
      </c>
      <c r="L80" s="107">
        <v>0</v>
      </c>
    </row>
    <row r="81" spans="1:12">
      <c r="A81" s="17" t="s">
        <v>709</v>
      </c>
      <c r="B81" s="17" t="s">
        <v>138</v>
      </c>
      <c r="C81" s="17">
        <v>8</v>
      </c>
      <c r="D81" s="17">
        <v>10000</v>
      </c>
      <c r="E81" s="17">
        <v>17200</v>
      </c>
      <c r="F81" s="17">
        <v>12200</v>
      </c>
      <c r="G81" s="17">
        <f t="shared" si="3"/>
        <v>15000</v>
      </c>
      <c r="H81" s="17" t="s">
        <v>663</v>
      </c>
      <c r="I81" s="17">
        <v>4200</v>
      </c>
      <c r="J81" s="17">
        <v>4200</v>
      </c>
      <c r="K81" s="17">
        <f t="shared" si="1"/>
        <v>0</v>
      </c>
      <c r="L81" s="17">
        <v>0</v>
      </c>
    </row>
    <row r="82" spans="1:12">
      <c r="A82" s="17"/>
      <c r="B82" s="17" t="s">
        <v>139</v>
      </c>
      <c r="C82" s="17">
        <v>5</v>
      </c>
      <c r="D82" s="17"/>
      <c r="E82" s="17"/>
      <c r="F82" s="17"/>
      <c r="G82" s="17"/>
      <c r="H82" s="17"/>
      <c r="I82" s="17">
        <v>3600</v>
      </c>
      <c r="J82" s="17">
        <v>3600</v>
      </c>
      <c r="K82" s="17">
        <f t="shared" si="1"/>
        <v>0</v>
      </c>
      <c r="L82" s="17">
        <v>0</v>
      </c>
    </row>
    <row r="83" spans="1:12">
      <c r="A83" s="167" t="s">
        <v>711</v>
      </c>
      <c r="B83" s="170" t="s">
        <v>710</v>
      </c>
      <c r="C83" s="107">
        <v>8</v>
      </c>
      <c r="D83" s="107">
        <v>0</v>
      </c>
      <c r="E83" s="107">
        <v>9000</v>
      </c>
      <c r="F83" s="107">
        <v>6000</v>
      </c>
      <c r="G83" s="107">
        <f t="shared" si="3"/>
        <v>3000</v>
      </c>
      <c r="H83" s="107"/>
      <c r="I83" s="107">
        <v>0</v>
      </c>
      <c r="J83" s="107">
        <v>0</v>
      </c>
      <c r="K83" s="107">
        <f t="shared" si="1"/>
        <v>0</v>
      </c>
      <c r="L83" s="107">
        <v>0</v>
      </c>
    </row>
    <row r="84" spans="1:12">
      <c r="A84" s="107"/>
      <c r="B84" s="170" t="s">
        <v>687</v>
      </c>
      <c r="C84" s="107">
        <v>3</v>
      </c>
      <c r="D84" s="107"/>
      <c r="E84" s="107"/>
      <c r="F84" s="107"/>
      <c r="G84" s="107"/>
      <c r="H84" s="107"/>
      <c r="I84" s="107">
        <v>0</v>
      </c>
      <c r="J84" s="107">
        <v>0</v>
      </c>
      <c r="K84" s="107">
        <f t="shared" si="1"/>
        <v>0</v>
      </c>
      <c r="L84" s="107">
        <v>0</v>
      </c>
    </row>
    <row r="85" spans="1:12">
      <c r="A85" s="17" t="s">
        <v>712</v>
      </c>
      <c r="B85" s="17" t="s">
        <v>142</v>
      </c>
      <c r="C85" s="17">
        <v>8</v>
      </c>
      <c r="D85" s="17">
        <v>15000</v>
      </c>
      <c r="E85" s="17">
        <v>16000</v>
      </c>
      <c r="F85" s="17">
        <v>25000</v>
      </c>
      <c r="G85" s="17">
        <f t="shared" si="3"/>
        <v>6000</v>
      </c>
      <c r="H85" s="17" t="s">
        <v>663</v>
      </c>
      <c r="I85" s="17">
        <v>4100</v>
      </c>
      <c r="J85" s="17">
        <v>3100</v>
      </c>
      <c r="K85" s="17">
        <f t="shared" si="1"/>
        <v>0</v>
      </c>
      <c r="L85" s="17">
        <v>1000</v>
      </c>
    </row>
    <row r="86" spans="1:12">
      <c r="A86" s="17"/>
      <c r="B86" s="17" t="s">
        <v>143</v>
      </c>
      <c r="C86" s="17">
        <v>6</v>
      </c>
      <c r="D86" s="17"/>
      <c r="E86" s="17"/>
      <c r="F86" s="17"/>
      <c r="G86" s="17"/>
      <c r="H86" s="17"/>
      <c r="I86" s="17">
        <v>3300</v>
      </c>
      <c r="J86" s="17">
        <v>2800</v>
      </c>
      <c r="K86" s="17">
        <f t="shared" si="1"/>
        <v>0</v>
      </c>
      <c r="L86" s="17">
        <v>500</v>
      </c>
    </row>
    <row r="87" spans="1:12">
      <c r="A87" s="17"/>
      <c r="B87" s="17" t="s">
        <v>144</v>
      </c>
      <c r="C87" s="17">
        <v>1</v>
      </c>
      <c r="D87" s="17"/>
      <c r="E87" s="17"/>
      <c r="F87" s="17"/>
      <c r="G87" s="17"/>
      <c r="H87" s="17"/>
      <c r="I87" s="17">
        <v>2500</v>
      </c>
      <c r="J87" s="17">
        <v>2000</v>
      </c>
      <c r="K87" s="17">
        <f t="shared" si="1"/>
        <v>0</v>
      </c>
      <c r="L87" s="17">
        <v>500</v>
      </c>
    </row>
    <row r="88" spans="1:12">
      <c r="A88" s="107" t="s">
        <v>713</v>
      </c>
      <c r="B88" s="107" t="s">
        <v>123</v>
      </c>
      <c r="C88" s="107">
        <v>7</v>
      </c>
      <c r="D88" s="107">
        <v>15000</v>
      </c>
      <c r="E88" s="107">
        <v>0</v>
      </c>
      <c r="F88" s="107">
        <v>15000</v>
      </c>
      <c r="G88" s="107">
        <f t="shared" ref="G88:G90" si="4">D88+E88-F88</f>
        <v>0</v>
      </c>
      <c r="H88" s="167" t="s">
        <v>612</v>
      </c>
      <c r="I88" s="107"/>
      <c r="J88" s="107"/>
      <c r="K88" s="107"/>
      <c r="L88" s="107"/>
    </row>
    <row r="89" spans="1:12">
      <c r="A89" s="107"/>
      <c r="B89" s="107" t="s">
        <v>124</v>
      </c>
      <c r="C89" s="107">
        <v>3</v>
      </c>
      <c r="D89" s="107"/>
      <c r="E89" s="107"/>
      <c r="F89" s="107"/>
      <c r="G89" s="107"/>
      <c r="H89" s="167" t="s">
        <v>612</v>
      </c>
      <c r="I89" s="107"/>
      <c r="J89" s="107"/>
      <c r="K89" s="107"/>
      <c r="L89" s="107"/>
    </row>
    <row r="90" spans="1:12">
      <c r="A90" s="17" t="s">
        <v>717</v>
      </c>
      <c r="B90" s="17" t="s">
        <v>714</v>
      </c>
      <c r="C90" s="17">
        <v>8</v>
      </c>
      <c r="D90" s="17">
        <v>26000</v>
      </c>
      <c r="E90" s="17">
        <v>0</v>
      </c>
      <c r="F90" s="17">
        <v>26000</v>
      </c>
      <c r="G90" s="17">
        <f t="shared" si="4"/>
        <v>0</v>
      </c>
      <c r="H90" s="33" t="s">
        <v>612</v>
      </c>
      <c r="I90" s="17"/>
      <c r="J90" s="17"/>
      <c r="K90" s="17"/>
      <c r="L90" s="17"/>
    </row>
    <row r="91" spans="1:12">
      <c r="A91" s="17"/>
      <c r="B91" s="17" t="s">
        <v>715</v>
      </c>
      <c r="C91" s="17">
        <v>8</v>
      </c>
      <c r="D91" s="17"/>
      <c r="E91" s="17"/>
      <c r="F91" s="17"/>
      <c r="G91" s="17"/>
      <c r="H91" s="33" t="s">
        <v>612</v>
      </c>
      <c r="I91" s="17"/>
      <c r="J91" s="17"/>
      <c r="K91" s="17"/>
      <c r="L91" s="17"/>
    </row>
    <row r="92" spans="1:12">
      <c r="A92" s="17"/>
      <c r="B92" s="17" t="s">
        <v>716</v>
      </c>
      <c r="C92" s="17">
        <v>5</v>
      </c>
      <c r="D92" s="17"/>
      <c r="E92" s="17"/>
      <c r="F92" s="17"/>
      <c r="G92" s="17"/>
      <c r="H92" s="33" t="s">
        <v>612</v>
      </c>
      <c r="I92" s="17"/>
      <c r="J92" s="17"/>
      <c r="K92" s="17"/>
      <c r="L92" s="17"/>
    </row>
    <row r="93" spans="1:12">
      <c r="A93" s="17"/>
      <c r="B93" s="17" t="s">
        <v>718</v>
      </c>
      <c r="C93" s="17">
        <v>2</v>
      </c>
      <c r="D93" s="17"/>
      <c r="E93" s="17"/>
      <c r="F93" s="17"/>
      <c r="G93" s="17"/>
      <c r="H93" s="33" t="s">
        <v>612</v>
      </c>
      <c r="I93" s="17"/>
      <c r="J93" s="17"/>
      <c r="K93" s="17"/>
      <c r="L93" s="17"/>
    </row>
    <row r="94" spans="1:12">
      <c r="A94" s="17" t="s">
        <v>719</v>
      </c>
      <c r="B94" s="17" t="s">
        <v>146</v>
      </c>
      <c r="C94" s="17">
        <v>7</v>
      </c>
      <c r="D94" s="17">
        <v>9200</v>
      </c>
      <c r="E94" s="17">
        <v>0</v>
      </c>
      <c r="F94" s="17">
        <v>9200</v>
      </c>
      <c r="G94" s="17">
        <f t="shared" ref="G94:G105" si="5">D94+E94-F94</f>
        <v>0</v>
      </c>
      <c r="H94" s="33" t="s">
        <v>612</v>
      </c>
      <c r="I94" s="17"/>
      <c r="J94" s="17"/>
      <c r="K94" s="17"/>
      <c r="L94" s="17"/>
    </row>
    <row r="95" spans="1:12">
      <c r="A95" s="155" t="s">
        <v>721</v>
      </c>
      <c r="B95" s="155" t="s">
        <v>720</v>
      </c>
      <c r="C95" s="155">
        <v>8</v>
      </c>
      <c r="D95" s="155">
        <v>0</v>
      </c>
      <c r="E95" s="155">
        <v>0</v>
      </c>
      <c r="F95" s="155"/>
      <c r="G95" s="155">
        <f t="shared" si="5"/>
        <v>0</v>
      </c>
      <c r="H95" s="155"/>
      <c r="I95" s="17">
        <v>0</v>
      </c>
      <c r="J95" s="17">
        <v>0</v>
      </c>
      <c r="K95" s="17">
        <f t="shared" ref="K95:K96" si="6">I95-J95-L95</f>
        <v>0</v>
      </c>
      <c r="L95" s="17"/>
    </row>
    <row r="96" spans="1:12">
      <c r="A96" s="17" t="s">
        <v>838</v>
      </c>
      <c r="B96" s="17" t="s">
        <v>722</v>
      </c>
      <c r="C96" s="17">
        <v>8</v>
      </c>
      <c r="D96" s="17">
        <v>14000</v>
      </c>
      <c r="E96" s="17">
        <v>15000</v>
      </c>
      <c r="F96" s="17">
        <v>6000</v>
      </c>
      <c r="G96" s="17">
        <f t="shared" si="5"/>
        <v>23000</v>
      </c>
      <c r="H96" s="17"/>
      <c r="I96" s="17">
        <v>5400</v>
      </c>
      <c r="J96" s="17">
        <v>4000</v>
      </c>
      <c r="K96" s="17">
        <f t="shared" si="6"/>
        <v>1400</v>
      </c>
      <c r="L96" s="17"/>
    </row>
    <row r="97" spans="1:13">
      <c r="A97" s="155" t="s">
        <v>723</v>
      </c>
      <c r="B97" s="155" t="s">
        <v>152</v>
      </c>
      <c r="C97" s="155">
        <v>8</v>
      </c>
      <c r="D97" s="155">
        <v>20000</v>
      </c>
      <c r="E97" s="155">
        <v>25000</v>
      </c>
      <c r="F97" s="155">
        <v>10000</v>
      </c>
      <c r="G97" s="155">
        <f t="shared" si="5"/>
        <v>35000</v>
      </c>
      <c r="H97" s="155" t="s">
        <v>663</v>
      </c>
      <c r="I97" s="17"/>
      <c r="J97" s="17"/>
      <c r="K97" s="17"/>
      <c r="L97" s="171" t="s">
        <v>998</v>
      </c>
    </row>
    <row r="98" spans="1:13">
      <c r="A98" s="155"/>
      <c r="B98" s="155" t="s">
        <v>153</v>
      </c>
      <c r="C98" s="155">
        <v>6</v>
      </c>
      <c r="D98" s="155"/>
      <c r="E98" s="155"/>
      <c r="F98" s="155"/>
      <c r="G98" s="155"/>
      <c r="H98" s="155"/>
      <c r="I98" s="17"/>
      <c r="J98" s="17"/>
      <c r="K98" s="17"/>
      <c r="L98" s="17"/>
    </row>
    <row r="99" spans="1:13">
      <c r="A99" s="17" t="s">
        <v>725</v>
      </c>
      <c r="B99" s="17" t="s">
        <v>724</v>
      </c>
      <c r="C99" s="17">
        <v>8</v>
      </c>
      <c r="D99" s="17">
        <v>6300</v>
      </c>
      <c r="E99" s="17">
        <v>15000</v>
      </c>
      <c r="F99" s="17">
        <v>6300</v>
      </c>
      <c r="G99" s="17">
        <f t="shared" si="5"/>
        <v>15000</v>
      </c>
      <c r="H99" s="17"/>
      <c r="I99" s="17">
        <v>4000</v>
      </c>
      <c r="J99" s="17">
        <v>3000</v>
      </c>
      <c r="K99" s="17">
        <f t="shared" ref="K99:K105" si="7">I99-J99-L99</f>
        <v>1000</v>
      </c>
      <c r="L99" s="17"/>
    </row>
    <row r="100" spans="1:13">
      <c r="A100" s="155" t="s">
        <v>727</v>
      </c>
      <c r="B100" s="155" t="s">
        <v>726</v>
      </c>
      <c r="C100" s="155">
        <v>7</v>
      </c>
      <c r="D100" s="155">
        <v>2000</v>
      </c>
      <c r="E100" s="155"/>
      <c r="F100" s="155">
        <v>2000</v>
      </c>
      <c r="G100" s="155">
        <f t="shared" si="5"/>
        <v>0</v>
      </c>
      <c r="H100" s="156" t="s">
        <v>612</v>
      </c>
      <c r="I100" s="17">
        <v>0</v>
      </c>
      <c r="J100" s="17">
        <v>0</v>
      </c>
      <c r="K100" s="17">
        <f t="shared" si="7"/>
        <v>0</v>
      </c>
      <c r="L100" s="17"/>
    </row>
    <row r="101" spans="1:13">
      <c r="A101" s="17" t="s">
        <v>729</v>
      </c>
      <c r="B101" s="17" t="s">
        <v>999</v>
      </c>
      <c r="C101" s="17">
        <v>7</v>
      </c>
      <c r="D101" s="17">
        <v>9000</v>
      </c>
      <c r="E101" s="17">
        <v>12800</v>
      </c>
      <c r="F101" s="17">
        <v>19000</v>
      </c>
      <c r="G101" s="17">
        <f t="shared" si="5"/>
        <v>2800</v>
      </c>
      <c r="H101" s="17"/>
      <c r="I101" s="17">
        <v>4800</v>
      </c>
      <c r="J101" s="17">
        <v>3600</v>
      </c>
      <c r="K101" s="17">
        <f t="shared" si="7"/>
        <v>1200</v>
      </c>
      <c r="L101" s="17"/>
    </row>
    <row r="102" spans="1:13">
      <c r="A102" s="155" t="s">
        <v>731</v>
      </c>
      <c r="B102" s="155" t="s">
        <v>730</v>
      </c>
      <c r="C102" s="155">
        <v>7</v>
      </c>
      <c r="D102" s="155">
        <v>5500</v>
      </c>
      <c r="E102" s="155">
        <v>12000</v>
      </c>
      <c r="F102" s="155">
        <v>6500</v>
      </c>
      <c r="G102" s="155">
        <f t="shared" si="5"/>
        <v>11000</v>
      </c>
      <c r="H102" s="155"/>
      <c r="I102" s="17">
        <v>4800</v>
      </c>
      <c r="J102" s="17">
        <v>3000</v>
      </c>
      <c r="K102" s="17">
        <f t="shared" si="7"/>
        <v>1800</v>
      </c>
      <c r="L102" s="17"/>
    </row>
    <row r="103" spans="1:13">
      <c r="A103" s="17" t="s">
        <v>734</v>
      </c>
      <c r="B103" s="17" t="s">
        <v>733</v>
      </c>
      <c r="C103" s="17">
        <v>7</v>
      </c>
      <c r="D103" s="17"/>
      <c r="E103" s="17"/>
      <c r="F103" s="17"/>
      <c r="G103" s="17"/>
      <c r="H103" s="17"/>
      <c r="I103" s="17">
        <v>0</v>
      </c>
      <c r="J103" s="17">
        <v>0</v>
      </c>
      <c r="K103" s="17">
        <f t="shared" si="7"/>
        <v>0</v>
      </c>
      <c r="L103" s="17"/>
      <c r="M103">
        <v>20600</v>
      </c>
    </row>
    <row r="104" spans="1:13">
      <c r="A104" s="17"/>
      <c r="B104" s="17" t="s">
        <v>160</v>
      </c>
      <c r="C104" s="17">
        <v>5</v>
      </c>
      <c r="D104" s="17">
        <v>11000</v>
      </c>
      <c r="E104" s="17">
        <v>15000</v>
      </c>
      <c r="F104" s="17">
        <v>11000</v>
      </c>
      <c r="G104" s="17">
        <f t="shared" si="5"/>
        <v>15000</v>
      </c>
      <c r="H104" s="17"/>
      <c r="I104" s="17">
        <v>0</v>
      </c>
      <c r="J104" s="17">
        <v>0</v>
      </c>
      <c r="K104" s="17">
        <f t="shared" si="7"/>
        <v>0</v>
      </c>
      <c r="L104" s="17"/>
      <c r="M104">
        <v>21000</v>
      </c>
    </row>
    <row r="105" spans="1:13">
      <c r="A105" s="155" t="s">
        <v>738</v>
      </c>
      <c r="B105" s="155" t="s">
        <v>727</v>
      </c>
      <c r="C105" s="155">
        <v>7</v>
      </c>
      <c r="D105" s="155">
        <v>13000</v>
      </c>
      <c r="E105" s="155">
        <v>29600</v>
      </c>
      <c r="F105" s="155">
        <v>41600</v>
      </c>
      <c r="G105" s="155">
        <f t="shared" si="5"/>
        <v>1000</v>
      </c>
      <c r="H105" s="155" t="s">
        <v>663</v>
      </c>
      <c r="I105" s="17">
        <v>12500</v>
      </c>
      <c r="J105" s="17">
        <v>12500</v>
      </c>
      <c r="K105" s="17">
        <f t="shared" si="7"/>
        <v>0</v>
      </c>
      <c r="L105" s="17"/>
    </row>
    <row r="106" spans="1:13">
      <c r="A106" s="155"/>
      <c r="B106" s="155" t="s">
        <v>735</v>
      </c>
      <c r="C106" s="155">
        <v>4</v>
      </c>
      <c r="D106" s="155"/>
      <c r="E106" s="155"/>
      <c r="F106" s="155"/>
      <c r="G106" s="155"/>
      <c r="H106" s="155"/>
      <c r="I106" s="17"/>
      <c r="J106" s="17"/>
      <c r="K106" s="17"/>
      <c r="L106" s="17"/>
    </row>
    <row r="107" spans="1:13">
      <c r="A107" s="155"/>
      <c r="B107" s="155" t="s">
        <v>736</v>
      </c>
      <c r="C107" s="155">
        <v>2</v>
      </c>
      <c r="D107" s="155"/>
      <c r="E107" s="155"/>
      <c r="F107" s="155"/>
      <c r="G107" s="155"/>
      <c r="H107" s="155"/>
      <c r="I107" s="17"/>
      <c r="J107" s="17"/>
      <c r="K107" s="17"/>
      <c r="L107" s="17"/>
    </row>
    <row r="108" spans="1:13">
      <c r="A108" s="155"/>
      <c r="B108" s="155" t="s">
        <v>529</v>
      </c>
      <c r="C108" s="155" t="s">
        <v>737</v>
      </c>
      <c r="D108" s="155"/>
      <c r="E108" s="155"/>
      <c r="F108" s="155"/>
      <c r="G108" s="155"/>
      <c r="H108" s="155"/>
      <c r="I108" s="17"/>
      <c r="J108" s="17"/>
      <c r="K108" s="17"/>
      <c r="L108" s="17"/>
    </row>
    <row r="109" spans="1:13">
      <c r="A109" s="17" t="s">
        <v>739</v>
      </c>
      <c r="B109" s="17" t="s">
        <v>68</v>
      </c>
      <c r="C109" s="17">
        <v>7</v>
      </c>
      <c r="D109" s="17">
        <v>5000</v>
      </c>
      <c r="E109" s="17">
        <v>12600</v>
      </c>
      <c r="F109" s="17">
        <v>7600</v>
      </c>
      <c r="G109" s="17">
        <f t="shared" ref="G109:G113" si="8">D109+E109-F109</f>
        <v>10000</v>
      </c>
      <c r="H109" s="17"/>
      <c r="I109" s="17">
        <v>2800</v>
      </c>
      <c r="J109" s="17">
        <v>2800</v>
      </c>
      <c r="K109" s="17">
        <f t="shared" ref="K109:K113" si="9">I109-J109-L109</f>
        <v>0</v>
      </c>
      <c r="L109" s="17"/>
    </row>
    <row r="110" spans="1:13">
      <c r="A110" s="155" t="s">
        <v>741</v>
      </c>
      <c r="B110" s="155" t="s">
        <v>740</v>
      </c>
      <c r="C110" s="155">
        <v>7</v>
      </c>
      <c r="D110" s="155">
        <v>5000</v>
      </c>
      <c r="E110" s="155">
        <v>10000</v>
      </c>
      <c r="F110" s="155">
        <v>7000</v>
      </c>
      <c r="G110" s="155">
        <f t="shared" si="8"/>
        <v>8000</v>
      </c>
      <c r="H110" s="155"/>
      <c r="I110" s="17">
        <v>3500</v>
      </c>
      <c r="J110" s="17">
        <v>3500</v>
      </c>
      <c r="K110" s="17">
        <f t="shared" si="9"/>
        <v>0</v>
      </c>
      <c r="L110" s="17"/>
    </row>
    <row r="111" spans="1:13">
      <c r="A111" s="17" t="s">
        <v>742</v>
      </c>
      <c r="B111" s="17" t="s">
        <v>743</v>
      </c>
      <c r="C111" s="17">
        <v>7</v>
      </c>
      <c r="D111" s="17">
        <v>2000</v>
      </c>
      <c r="E111" s="17">
        <v>0</v>
      </c>
      <c r="F111" s="17">
        <v>2000</v>
      </c>
      <c r="G111" s="17">
        <f t="shared" si="8"/>
        <v>0</v>
      </c>
      <c r="H111" s="17"/>
      <c r="I111" s="17">
        <v>5500</v>
      </c>
      <c r="J111" s="17">
        <v>1500</v>
      </c>
      <c r="K111" s="17">
        <f t="shared" si="9"/>
        <v>4000</v>
      </c>
      <c r="L111" s="17"/>
    </row>
    <row r="112" spans="1:13">
      <c r="A112" s="17"/>
      <c r="B112" s="17" t="s">
        <v>744</v>
      </c>
      <c r="C112" s="17"/>
      <c r="D112" s="17"/>
      <c r="E112" s="17"/>
      <c r="F112" s="17"/>
      <c r="G112" s="17"/>
      <c r="H112" s="17"/>
      <c r="I112" s="17"/>
      <c r="J112" s="17"/>
      <c r="K112" s="17"/>
      <c r="L112" s="17"/>
    </row>
    <row r="113" spans="1:14">
      <c r="A113" s="156" t="s">
        <v>746</v>
      </c>
      <c r="B113" s="155" t="s">
        <v>162</v>
      </c>
      <c r="C113" s="155">
        <v>7</v>
      </c>
      <c r="D113" s="155">
        <v>36500</v>
      </c>
      <c r="E113" s="155">
        <v>40000</v>
      </c>
      <c r="F113" s="155">
        <v>38000</v>
      </c>
      <c r="G113" s="155">
        <f t="shared" si="8"/>
        <v>38500</v>
      </c>
      <c r="H113" s="155" t="s">
        <v>663</v>
      </c>
      <c r="I113" s="17">
        <v>11000</v>
      </c>
      <c r="J113" s="17">
        <v>11000</v>
      </c>
      <c r="K113" s="17">
        <f t="shared" si="9"/>
        <v>0</v>
      </c>
      <c r="L113" s="17"/>
    </row>
    <row r="114" spans="1:14">
      <c r="A114" s="155"/>
      <c r="B114" s="155" t="s">
        <v>163</v>
      </c>
      <c r="C114" s="155">
        <v>6</v>
      </c>
      <c r="D114" s="155"/>
      <c r="E114" s="155"/>
      <c r="F114" s="155"/>
      <c r="G114" s="155"/>
      <c r="H114" s="155"/>
      <c r="I114" s="17"/>
      <c r="J114" s="17"/>
      <c r="K114" s="17"/>
      <c r="L114" s="17"/>
    </row>
    <row r="115" spans="1:14">
      <c r="A115" s="155"/>
      <c r="B115" s="155" t="s">
        <v>165</v>
      </c>
      <c r="C115" s="155">
        <v>5</v>
      </c>
      <c r="D115" s="155"/>
      <c r="E115" s="155"/>
      <c r="F115" s="155"/>
      <c r="G115" s="155"/>
      <c r="H115" s="155"/>
      <c r="I115" s="17"/>
      <c r="J115" s="17"/>
      <c r="K115" s="17"/>
      <c r="L115" s="17"/>
    </row>
    <row r="116" spans="1:14">
      <c r="A116" s="155"/>
      <c r="B116" s="155" t="s">
        <v>745</v>
      </c>
      <c r="C116" s="155">
        <v>5</v>
      </c>
      <c r="D116" s="155"/>
      <c r="E116" s="155"/>
      <c r="F116" s="155"/>
      <c r="G116" s="155"/>
      <c r="H116" s="155"/>
      <c r="I116" s="17"/>
      <c r="J116" s="17"/>
      <c r="K116" s="17"/>
      <c r="L116" s="17"/>
    </row>
    <row r="117" spans="1:14">
      <c r="A117" s="155"/>
      <c r="B117" s="155" t="s">
        <v>164</v>
      </c>
      <c r="C117" s="155">
        <v>2</v>
      </c>
      <c r="D117" s="155"/>
      <c r="E117" s="155"/>
      <c r="F117" s="155"/>
      <c r="G117" s="155"/>
      <c r="H117" s="155"/>
      <c r="I117" s="17"/>
      <c r="J117" s="17"/>
      <c r="K117" s="17"/>
      <c r="L117" s="17"/>
    </row>
    <row r="118" spans="1:14">
      <c r="A118" s="17" t="s">
        <v>747</v>
      </c>
      <c r="B118" s="17" t="s">
        <v>166</v>
      </c>
      <c r="C118" s="17">
        <v>7</v>
      </c>
      <c r="D118" s="17">
        <v>9700</v>
      </c>
      <c r="E118" s="17">
        <v>8700</v>
      </c>
      <c r="F118" s="17">
        <v>15200</v>
      </c>
      <c r="G118" s="17">
        <f t="shared" ref="G118:G121" si="10">D118+E118-F118</f>
        <v>3200</v>
      </c>
      <c r="H118" s="17"/>
      <c r="I118" s="17">
        <v>3300</v>
      </c>
      <c r="J118" s="17">
        <v>3300</v>
      </c>
      <c r="K118" s="17">
        <f t="shared" ref="K118:K121" si="11">I118-J118-L118</f>
        <v>0</v>
      </c>
      <c r="L118" s="17"/>
    </row>
    <row r="119" spans="1:14">
      <c r="A119" s="155" t="s">
        <v>748</v>
      </c>
      <c r="B119" s="155" t="s">
        <v>167</v>
      </c>
      <c r="C119" s="155">
        <v>7</v>
      </c>
      <c r="D119" s="155">
        <v>19400</v>
      </c>
      <c r="E119" s="155">
        <v>9800</v>
      </c>
      <c r="F119" s="155">
        <v>21900</v>
      </c>
      <c r="G119" s="155">
        <f t="shared" si="10"/>
        <v>7300</v>
      </c>
      <c r="H119" s="155" t="s">
        <v>663</v>
      </c>
      <c r="I119" s="17">
        <v>4000</v>
      </c>
      <c r="J119" s="17">
        <v>4000</v>
      </c>
      <c r="K119" s="17">
        <f t="shared" si="11"/>
        <v>0</v>
      </c>
      <c r="L119" s="17"/>
    </row>
    <row r="120" spans="1:14">
      <c r="A120" s="155"/>
      <c r="B120" s="155" t="s">
        <v>168</v>
      </c>
      <c r="C120" s="155"/>
      <c r="D120" s="155"/>
      <c r="E120" s="155"/>
      <c r="F120" s="155"/>
      <c r="G120" s="155"/>
      <c r="H120" s="156" t="s">
        <v>612</v>
      </c>
      <c r="I120" s="17"/>
      <c r="J120" s="17"/>
      <c r="K120" s="17"/>
      <c r="L120" s="17"/>
    </row>
    <row r="121" spans="1:14">
      <c r="A121" s="33" t="s">
        <v>751</v>
      </c>
      <c r="B121" s="17" t="s">
        <v>174</v>
      </c>
      <c r="C121" s="17">
        <v>7</v>
      </c>
      <c r="D121" s="17">
        <v>21500</v>
      </c>
      <c r="E121" s="17">
        <v>35000</v>
      </c>
      <c r="F121" s="17">
        <v>23000</v>
      </c>
      <c r="G121" s="17">
        <f t="shared" si="10"/>
        <v>33500</v>
      </c>
      <c r="H121" s="17"/>
      <c r="I121" s="17">
        <v>0</v>
      </c>
      <c r="J121" s="17">
        <v>0</v>
      </c>
      <c r="K121" s="17">
        <f t="shared" si="11"/>
        <v>0</v>
      </c>
      <c r="L121" s="17"/>
    </row>
    <row r="122" spans="1:14">
      <c r="A122" s="17"/>
      <c r="B122" s="17" t="s">
        <v>749</v>
      </c>
      <c r="C122" s="17">
        <v>5</v>
      </c>
      <c r="D122" s="17"/>
      <c r="E122" s="17"/>
      <c r="F122" s="17"/>
      <c r="G122" s="17"/>
      <c r="H122" s="17"/>
      <c r="I122" s="17">
        <v>0</v>
      </c>
      <c r="J122" s="17">
        <v>0</v>
      </c>
      <c r="K122" s="17">
        <f t="shared" ref="K122:K138" si="12">I122-J122-L122</f>
        <v>0</v>
      </c>
      <c r="L122" s="17"/>
    </row>
    <row r="123" spans="1:14">
      <c r="A123" s="17"/>
      <c r="B123" s="17" t="s">
        <v>750</v>
      </c>
      <c r="C123" s="17">
        <v>2</v>
      </c>
      <c r="D123" s="17"/>
      <c r="E123" s="17"/>
      <c r="F123" s="17"/>
      <c r="G123" s="17"/>
      <c r="H123" s="17"/>
      <c r="I123" s="17">
        <v>0</v>
      </c>
      <c r="J123" s="17">
        <v>0</v>
      </c>
      <c r="K123" s="17">
        <f t="shared" si="12"/>
        <v>0</v>
      </c>
      <c r="L123" s="17"/>
    </row>
    <row r="124" spans="1:14">
      <c r="A124" s="17"/>
      <c r="B124" s="17" t="s">
        <v>177</v>
      </c>
      <c r="C124" s="17" t="s">
        <v>102</v>
      </c>
      <c r="D124" s="17"/>
      <c r="E124" s="17"/>
      <c r="F124" s="17"/>
      <c r="G124" s="17"/>
      <c r="H124" s="17"/>
      <c r="I124" s="17">
        <v>0</v>
      </c>
      <c r="J124" s="17">
        <v>0</v>
      </c>
      <c r="K124" s="17">
        <f t="shared" si="12"/>
        <v>0</v>
      </c>
      <c r="L124" s="17"/>
    </row>
    <row r="125" spans="1:14">
      <c r="A125" s="155" t="s">
        <v>752</v>
      </c>
      <c r="B125" s="155" t="s">
        <v>179</v>
      </c>
      <c r="C125" s="155">
        <v>7</v>
      </c>
      <c r="D125" s="155">
        <v>6700</v>
      </c>
      <c r="E125" s="155">
        <v>13000</v>
      </c>
      <c r="F125" s="155">
        <v>6700</v>
      </c>
      <c r="G125" s="155">
        <f t="shared" ref="G125:G130" si="13">D125+E125-F125</f>
        <v>13000</v>
      </c>
      <c r="H125" s="155"/>
      <c r="I125" s="17">
        <v>4000</v>
      </c>
      <c r="J125" s="17">
        <v>2000</v>
      </c>
      <c r="K125" s="17">
        <f t="shared" si="12"/>
        <v>2000</v>
      </c>
      <c r="L125" s="17"/>
    </row>
    <row r="126" spans="1:14">
      <c r="A126" s="33" t="s">
        <v>753</v>
      </c>
      <c r="B126" s="17" t="s">
        <v>180</v>
      </c>
      <c r="C126" s="17">
        <v>7</v>
      </c>
      <c r="D126" s="17">
        <v>7500</v>
      </c>
      <c r="E126" s="17">
        <v>11500</v>
      </c>
      <c r="F126" s="17">
        <v>7000</v>
      </c>
      <c r="G126" s="17">
        <f t="shared" si="13"/>
        <v>12000</v>
      </c>
      <c r="H126" s="17"/>
      <c r="I126" s="17">
        <v>0</v>
      </c>
      <c r="J126" s="17">
        <v>0</v>
      </c>
      <c r="K126" s="17">
        <f t="shared" si="12"/>
        <v>0</v>
      </c>
      <c r="L126" s="17"/>
      <c r="N126" s="22">
        <v>3000</v>
      </c>
    </row>
    <row r="127" spans="1:14">
      <c r="A127" s="155" t="s">
        <v>774</v>
      </c>
      <c r="B127" s="155" t="s">
        <v>754</v>
      </c>
      <c r="C127" s="155">
        <v>7</v>
      </c>
      <c r="D127" s="155">
        <v>4000</v>
      </c>
      <c r="E127" s="155">
        <v>0</v>
      </c>
      <c r="F127" s="155">
        <v>0</v>
      </c>
      <c r="G127" s="155">
        <f t="shared" si="13"/>
        <v>4000</v>
      </c>
      <c r="H127" s="156" t="s">
        <v>612</v>
      </c>
      <c r="I127" s="17">
        <v>0</v>
      </c>
      <c r="J127" s="17">
        <v>0</v>
      </c>
      <c r="K127" s="17">
        <f t="shared" si="12"/>
        <v>0</v>
      </c>
      <c r="L127" s="17"/>
    </row>
    <row r="128" spans="1:14">
      <c r="A128" s="17" t="s">
        <v>756</v>
      </c>
      <c r="B128" s="17" t="s">
        <v>755</v>
      </c>
      <c r="C128" s="17">
        <v>7</v>
      </c>
      <c r="D128" s="17">
        <v>4000</v>
      </c>
      <c r="E128" s="17">
        <v>10000</v>
      </c>
      <c r="F128" s="17">
        <v>4000</v>
      </c>
      <c r="G128" s="17">
        <f t="shared" si="13"/>
        <v>10000</v>
      </c>
      <c r="H128" s="17"/>
      <c r="I128" s="17">
        <v>0</v>
      </c>
      <c r="J128" s="17">
        <v>0</v>
      </c>
      <c r="K128" s="17">
        <f t="shared" si="12"/>
        <v>0</v>
      </c>
      <c r="L128" s="17"/>
    </row>
    <row r="129" spans="1:18">
      <c r="A129" s="155" t="s">
        <v>773</v>
      </c>
      <c r="B129" s="155" t="s">
        <v>172</v>
      </c>
      <c r="C129" s="155">
        <v>7</v>
      </c>
      <c r="D129" s="155">
        <v>6000</v>
      </c>
      <c r="E129" s="155">
        <v>9100</v>
      </c>
      <c r="F129" s="155">
        <v>10100</v>
      </c>
      <c r="G129" s="155">
        <f t="shared" si="13"/>
        <v>5000</v>
      </c>
      <c r="H129" s="155"/>
      <c r="I129" s="17">
        <v>4900</v>
      </c>
      <c r="J129" s="17">
        <v>4900</v>
      </c>
      <c r="K129" s="17">
        <f t="shared" si="12"/>
        <v>0</v>
      </c>
      <c r="L129" s="17"/>
      <c r="N129" s="166">
        <v>500</v>
      </c>
    </row>
    <row r="130" spans="1:18">
      <c r="A130" s="17" t="s">
        <v>776</v>
      </c>
      <c r="B130" s="17" t="s">
        <v>207</v>
      </c>
      <c r="C130" s="17">
        <v>6</v>
      </c>
      <c r="D130" s="17">
        <v>3000</v>
      </c>
      <c r="E130" s="17">
        <v>10500</v>
      </c>
      <c r="F130" s="17">
        <v>5500</v>
      </c>
      <c r="G130" s="17">
        <f t="shared" si="13"/>
        <v>8000</v>
      </c>
      <c r="H130" s="17"/>
      <c r="I130" s="17">
        <v>4500</v>
      </c>
      <c r="J130" s="17">
        <v>4500</v>
      </c>
      <c r="K130" s="17">
        <f t="shared" si="12"/>
        <v>0</v>
      </c>
      <c r="L130" s="17"/>
      <c r="N130" s="22">
        <v>8000</v>
      </c>
    </row>
    <row r="131" spans="1:18">
      <c r="A131" s="17"/>
      <c r="B131" s="17" t="s">
        <v>775</v>
      </c>
      <c r="C131" s="17">
        <v>1</v>
      </c>
      <c r="D131" s="17"/>
      <c r="E131" s="17"/>
      <c r="F131" s="17"/>
      <c r="G131" s="17"/>
      <c r="H131" s="17"/>
      <c r="I131" s="17"/>
      <c r="J131" s="17"/>
      <c r="K131" s="17"/>
      <c r="L131" s="17"/>
    </row>
    <row r="132" spans="1:18">
      <c r="A132" s="155" t="s">
        <v>777</v>
      </c>
      <c r="B132" s="155" t="s">
        <v>778</v>
      </c>
      <c r="C132" s="155">
        <v>5</v>
      </c>
      <c r="D132" s="155">
        <v>10000</v>
      </c>
      <c r="E132" s="155">
        <v>0</v>
      </c>
      <c r="F132" s="155">
        <v>10000</v>
      </c>
      <c r="G132" s="155">
        <f t="shared" ref="G132" si="14">D132+E132-F132</f>
        <v>0</v>
      </c>
      <c r="H132" s="156" t="s">
        <v>612</v>
      </c>
      <c r="I132" s="17">
        <v>0</v>
      </c>
      <c r="J132" s="17">
        <v>0</v>
      </c>
      <c r="K132" s="17">
        <f t="shared" si="12"/>
        <v>0</v>
      </c>
      <c r="L132" s="17"/>
    </row>
    <row r="133" spans="1:18">
      <c r="A133" s="155"/>
      <c r="B133" s="155" t="s">
        <v>185</v>
      </c>
      <c r="C133" s="155">
        <v>2</v>
      </c>
      <c r="D133" s="155"/>
      <c r="E133" s="155">
        <v>0</v>
      </c>
      <c r="F133" s="155"/>
      <c r="G133" s="155"/>
      <c r="H133" s="156" t="s">
        <v>612</v>
      </c>
      <c r="I133" s="17">
        <v>0</v>
      </c>
      <c r="J133" s="17">
        <v>0</v>
      </c>
      <c r="K133" s="17">
        <f t="shared" si="12"/>
        <v>0</v>
      </c>
      <c r="L133" s="17"/>
      <c r="P133" s="17">
        <v>8</v>
      </c>
      <c r="Q133" s="17"/>
      <c r="R133" s="17">
        <v>19600</v>
      </c>
    </row>
    <row r="134" spans="1:18">
      <c r="A134" s="155"/>
      <c r="B134" s="155" t="s">
        <v>186</v>
      </c>
      <c r="C134" s="155" t="s">
        <v>102</v>
      </c>
      <c r="D134" s="155"/>
      <c r="E134" s="155">
        <v>0</v>
      </c>
      <c r="F134" s="155"/>
      <c r="G134" s="155"/>
      <c r="H134" s="156" t="s">
        <v>612</v>
      </c>
      <c r="I134" s="17">
        <v>0</v>
      </c>
      <c r="J134" s="17">
        <v>0</v>
      </c>
      <c r="K134" s="17">
        <f t="shared" si="12"/>
        <v>0</v>
      </c>
      <c r="L134" s="17"/>
      <c r="P134" s="17">
        <v>1</v>
      </c>
      <c r="Q134" s="17"/>
      <c r="R134" s="17">
        <v>12600</v>
      </c>
    </row>
    <row r="135" spans="1:18">
      <c r="A135" s="17" t="s">
        <v>839</v>
      </c>
      <c r="B135" s="17" t="s">
        <v>187</v>
      </c>
      <c r="C135" s="17">
        <v>6</v>
      </c>
      <c r="D135" s="17">
        <v>10000</v>
      </c>
      <c r="E135" s="17">
        <v>25000</v>
      </c>
      <c r="F135" s="17">
        <v>22000</v>
      </c>
      <c r="G135" s="17">
        <f t="shared" ref="G135:G138" si="15">D135+E135-F135</f>
        <v>13000</v>
      </c>
      <c r="H135" s="17"/>
      <c r="I135" s="17">
        <v>6500</v>
      </c>
      <c r="J135" s="17">
        <v>6500</v>
      </c>
      <c r="K135" s="17">
        <f t="shared" si="12"/>
        <v>0</v>
      </c>
      <c r="L135" s="17"/>
      <c r="P135" s="32">
        <v>4</v>
      </c>
      <c r="Q135" s="17"/>
      <c r="R135" s="32">
        <v>15200</v>
      </c>
    </row>
    <row r="136" spans="1:18">
      <c r="A136" s="17"/>
      <c r="B136" s="17" t="s">
        <v>188</v>
      </c>
      <c r="C136" s="17">
        <v>5</v>
      </c>
      <c r="D136" s="17"/>
      <c r="E136" s="17"/>
      <c r="F136" s="17"/>
      <c r="G136" s="17"/>
      <c r="H136" s="17"/>
      <c r="I136" s="17"/>
      <c r="J136" s="17"/>
      <c r="K136" s="17"/>
      <c r="L136" s="17"/>
      <c r="P136" s="32">
        <v>5</v>
      </c>
      <c r="Q136" s="17"/>
      <c r="R136" s="32">
        <v>15600</v>
      </c>
    </row>
    <row r="137" spans="1:18">
      <c r="A137" s="107" t="s">
        <v>920</v>
      </c>
      <c r="B137" s="107" t="s">
        <v>211</v>
      </c>
      <c r="C137" s="107">
        <v>6</v>
      </c>
      <c r="D137" s="107">
        <v>3500</v>
      </c>
      <c r="E137" s="107">
        <v>7000</v>
      </c>
      <c r="F137" s="107">
        <v>0</v>
      </c>
      <c r="G137" s="107">
        <f t="shared" si="15"/>
        <v>10500</v>
      </c>
      <c r="H137" s="167" t="s">
        <v>612</v>
      </c>
      <c r="I137" s="17">
        <v>0</v>
      </c>
      <c r="J137" s="17">
        <v>0</v>
      </c>
      <c r="K137" s="17">
        <f t="shared" si="12"/>
        <v>0</v>
      </c>
      <c r="L137" s="17"/>
      <c r="P137" s="32">
        <v>3</v>
      </c>
      <c r="Q137" s="17"/>
      <c r="R137" s="32">
        <v>14500</v>
      </c>
    </row>
    <row r="138" spans="1:18">
      <c r="A138" s="17" t="s">
        <v>842</v>
      </c>
      <c r="B138" s="17" t="s">
        <v>189</v>
      </c>
      <c r="C138" s="17">
        <v>6</v>
      </c>
      <c r="D138" s="17">
        <v>10000</v>
      </c>
      <c r="E138" s="17">
        <v>0</v>
      </c>
      <c r="F138" s="17">
        <v>4000</v>
      </c>
      <c r="G138" s="17">
        <f t="shared" si="15"/>
        <v>6000</v>
      </c>
      <c r="H138" s="17"/>
      <c r="I138" s="17">
        <v>0</v>
      </c>
      <c r="J138" s="17">
        <v>0</v>
      </c>
      <c r="K138" s="17">
        <f t="shared" si="12"/>
        <v>0</v>
      </c>
      <c r="L138" s="17"/>
      <c r="P138" s="17">
        <v>6</v>
      </c>
      <c r="Q138" s="17"/>
      <c r="R138" s="17">
        <v>16100</v>
      </c>
    </row>
    <row r="139" spans="1:18">
      <c r="A139" s="17"/>
      <c r="B139" s="17" t="s">
        <v>840</v>
      </c>
      <c r="C139" s="17">
        <v>5</v>
      </c>
      <c r="D139" s="17"/>
      <c r="E139" s="17"/>
      <c r="F139" s="17"/>
      <c r="G139" s="17"/>
      <c r="H139" s="17"/>
      <c r="I139" s="17">
        <v>0</v>
      </c>
      <c r="J139" s="17">
        <v>0</v>
      </c>
      <c r="K139" s="17">
        <f t="shared" ref="K139:K142" si="16">I139-J139-L139</f>
        <v>0</v>
      </c>
      <c r="L139" s="17"/>
      <c r="P139" s="32">
        <v>7</v>
      </c>
      <c r="Q139" s="17"/>
      <c r="R139" s="32">
        <v>16000</v>
      </c>
    </row>
    <row r="140" spans="1:18">
      <c r="A140" s="17"/>
      <c r="B140" s="17" t="s">
        <v>841</v>
      </c>
      <c r="C140" s="17">
        <v>1</v>
      </c>
      <c r="D140" s="17"/>
      <c r="E140" s="17"/>
      <c r="F140" s="17"/>
      <c r="G140" s="17"/>
      <c r="H140" s="17"/>
      <c r="I140" s="17">
        <v>0</v>
      </c>
      <c r="J140" s="17">
        <v>0</v>
      </c>
      <c r="K140" s="17">
        <f t="shared" si="16"/>
        <v>0</v>
      </c>
      <c r="L140" s="17"/>
    </row>
    <row r="141" spans="1:18">
      <c r="A141" s="107" t="s">
        <v>843</v>
      </c>
      <c r="B141" s="107" t="s">
        <v>210</v>
      </c>
      <c r="C141" s="107">
        <v>6</v>
      </c>
      <c r="D141" s="107">
        <v>0</v>
      </c>
      <c r="E141" s="107">
        <v>0</v>
      </c>
      <c r="F141" s="107">
        <v>0</v>
      </c>
      <c r="G141" s="107">
        <f t="shared" ref="G141:G142" si="17">D141+E141-F141</f>
        <v>0</v>
      </c>
      <c r="H141" s="107" t="s">
        <v>844</v>
      </c>
      <c r="I141" s="107">
        <v>5600</v>
      </c>
      <c r="J141" s="107">
        <v>2000</v>
      </c>
      <c r="K141" s="107">
        <f t="shared" si="16"/>
        <v>3600</v>
      </c>
      <c r="L141" s="17"/>
    </row>
    <row r="142" spans="1:18">
      <c r="A142" s="17" t="s">
        <v>847</v>
      </c>
      <c r="B142" s="17" t="s">
        <v>192</v>
      </c>
      <c r="C142" s="17">
        <v>6</v>
      </c>
      <c r="D142" s="17">
        <v>14000</v>
      </c>
      <c r="E142" s="17">
        <v>24000</v>
      </c>
      <c r="F142" s="17">
        <v>23000</v>
      </c>
      <c r="G142" s="17">
        <f t="shared" si="17"/>
        <v>15000</v>
      </c>
      <c r="H142" s="17"/>
      <c r="I142" s="17">
        <v>9500</v>
      </c>
      <c r="J142" s="17">
        <v>9500</v>
      </c>
      <c r="K142" s="17">
        <f t="shared" si="16"/>
        <v>0</v>
      </c>
      <c r="L142" s="17"/>
    </row>
    <row r="143" spans="1:18">
      <c r="A143" s="17"/>
      <c r="B143" s="17" t="s">
        <v>845</v>
      </c>
      <c r="C143" s="17">
        <v>4</v>
      </c>
      <c r="D143" s="17"/>
      <c r="E143" s="17"/>
      <c r="F143" s="17"/>
      <c r="G143" s="17"/>
      <c r="H143" s="17"/>
      <c r="I143" s="17"/>
      <c r="J143" s="17"/>
      <c r="K143" s="17"/>
      <c r="L143" s="17"/>
    </row>
    <row r="144" spans="1:18">
      <c r="A144" s="17"/>
      <c r="B144" s="17" t="s">
        <v>846</v>
      </c>
      <c r="C144" s="17" t="s">
        <v>848</v>
      </c>
      <c r="D144" s="17"/>
      <c r="E144" s="17"/>
      <c r="F144" s="17"/>
      <c r="G144" s="17"/>
      <c r="H144" s="17"/>
      <c r="I144" s="17"/>
      <c r="J144" s="17"/>
      <c r="K144" s="17"/>
      <c r="L144" s="17"/>
    </row>
    <row r="145" spans="1:12">
      <c r="A145" s="107" t="s">
        <v>850</v>
      </c>
      <c r="B145" s="107" t="s">
        <v>849</v>
      </c>
      <c r="C145" s="107">
        <v>6</v>
      </c>
      <c r="D145" s="107">
        <v>14000</v>
      </c>
      <c r="E145" s="107">
        <v>8000</v>
      </c>
      <c r="F145" s="107">
        <v>22000</v>
      </c>
      <c r="G145" s="107">
        <f t="shared" ref="G145" si="18">D145+E145-F145</f>
        <v>0</v>
      </c>
      <c r="H145" s="107"/>
      <c r="I145" s="107">
        <v>5000</v>
      </c>
      <c r="J145" s="107">
        <v>5000</v>
      </c>
      <c r="K145" s="107">
        <f t="shared" ref="K145" si="19">I145-J145-L145</f>
        <v>0</v>
      </c>
      <c r="L145" s="17"/>
    </row>
    <row r="146" spans="1:12">
      <c r="A146" s="107"/>
      <c r="B146" s="107" t="s">
        <v>851</v>
      </c>
      <c r="C146" s="107">
        <v>2</v>
      </c>
      <c r="D146" s="107"/>
      <c r="E146" s="107"/>
      <c r="F146" s="107"/>
      <c r="G146" s="107"/>
      <c r="H146" s="167" t="s">
        <v>612</v>
      </c>
      <c r="I146" s="107"/>
      <c r="J146" s="107"/>
      <c r="K146" s="107"/>
      <c r="L146" s="17"/>
    </row>
    <row r="147" spans="1:12">
      <c r="A147" s="17" t="s">
        <v>852</v>
      </c>
      <c r="B147" s="17" t="s">
        <v>195</v>
      </c>
      <c r="C147" s="17">
        <v>6</v>
      </c>
      <c r="D147" s="17">
        <v>5000</v>
      </c>
      <c r="E147" s="17">
        <v>14700</v>
      </c>
      <c r="F147" s="17">
        <v>9500</v>
      </c>
      <c r="G147" s="17">
        <f t="shared" ref="G147:G148" si="20">D147+E147-F147</f>
        <v>10200</v>
      </c>
      <c r="H147" s="17"/>
      <c r="I147" s="17">
        <v>3500</v>
      </c>
      <c r="J147" s="17">
        <v>3500</v>
      </c>
      <c r="K147" s="17">
        <f t="shared" ref="K147:K148" si="21">I147-J147-L147</f>
        <v>0</v>
      </c>
      <c r="L147" s="17"/>
    </row>
    <row r="148" spans="1:12">
      <c r="A148" s="107" t="s">
        <v>856</v>
      </c>
      <c r="B148" s="107" t="s">
        <v>196</v>
      </c>
      <c r="C148" s="107">
        <v>6</v>
      </c>
      <c r="D148" s="107">
        <v>24700</v>
      </c>
      <c r="E148" s="107">
        <v>33500</v>
      </c>
      <c r="F148" s="107">
        <v>53200</v>
      </c>
      <c r="G148" s="107">
        <f t="shared" si="20"/>
        <v>5000</v>
      </c>
      <c r="H148" s="107"/>
      <c r="I148" s="107">
        <v>6500</v>
      </c>
      <c r="J148" s="107">
        <v>6500</v>
      </c>
      <c r="K148" s="107">
        <f t="shared" si="21"/>
        <v>0</v>
      </c>
      <c r="L148" s="17"/>
    </row>
    <row r="149" spans="1:12">
      <c r="A149" s="107"/>
      <c r="B149" s="107" t="s">
        <v>854</v>
      </c>
      <c r="C149" s="107">
        <v>3</v>
      </c>
      <c r="D149" s="107"/>
      <c r="E149" s="107"/>
      <c r="F149" s="107"/>
      <c r="G149" s="107"/>
      <c r="H149" s="107"/>
      <c r="I149" s="107"/>
      <c r="J149" s="107"/>
      <c r="K149" s="107"/>
      <c r="L149" s="17"/>
    </row>
    <row r="150" spans="1:12">
      <c r="A150" s="107"/>
      <c r="B150" s="107" t="s">
        <v>853</v>
      </c>
      <c r="C150" s="107">
        <v>3</v>
      </c>
      <c r="D150" s="107"/>
      <c r="E150" s="107"/>
      <c r="F150" s="107"/>
      <c r="G150" s="107"/>
      <c r="H150" s="107"/>
      <c r="I150" s="107"/>
      <c r="J150" s="107"/>
      <c r="K150" s="107"/>
      <c r="L150" s="17"/>
    </row>
    <row r="151" spans="1:12">
      <c r="A151" s="107"/>
      <c r="B151" s="107" t="s">
        <v>855</v>
      </c>
      <c r="C151" s="107" t="s">
        <v>102</v>
      </c>
      <c r="D151" s="107"/>
      <c r="E151" s="107"/>
      <c r="F151" s="107"/>
      <c r="G151" s="107"/>
      <c r="H151" s="107"/>
      <c r="I151" s="107"/>
      <c r="J151" s="107"/>
      <c r="K151" s="107"/>
      <c r="L151" s="17"/>
    </row>
    <row r="152" spans="1:12">
      <c r="A152" s="17" t="s">
        <v>352</v>
      </c>
      <c r="B152" s="17" t="s">
        <v>857</v>
      </c>
      <c r="C152" s="17">
        <v>6</v>
      </c>
      <c r="D152" s="17">
        <v>15000</v>
      </c>
      <c r="E152" s="17">
        <v>20000</v>
      </c>
      <c r="F152" s="17">
        <v>12000</v>
      </c>
      <c r="G152" s="17">
        <f t="shared" ref="G152" si="22">D152+E152-F152</f>
        <v>23000</v>
      </c>
      <c r="H152" s="17"/>
      <c r="I152" s="17">
        <v>0</v>
      </c>
      <c r="J152" s="17">
        <v>0</v>
      </c>
      <c r="K152" s="17">
        <f t="shared" ref="K152" si="23">I152-J152-L152</f>
        <v>0</v>
      </c>
      <c r="L152" s="17"/>
    </row>
    <row r="153" spans="1:12">
      <c r="A153" s="17"/>
      <c r="B153" s="17" t="s">
        <v>213</v>
      </c>
      <c r="C153" s="17">
        <v>4</v>
      </c>
      <c r="D153" s="17"/>
      <c r="E153" s="17"/>
      <c r="F153" s="17"/>
      <c r="G153" s="17"/>
      <c r="H153" s="17"/>
      <c r="I153" s="17"/>
      <c r="J153" s="17"/>
      <c r="K153" s="17"/>
      <c r="L153" s="17"/>
    </row>
    <row r="154" spans="1:12">
      <c r="A154" s="107"/>
      <c r="B154" s="107"/>
      <c r="C154" s="107"/>
      <c r="D154" s="107"/>
      <c r="E154" s="107"/>
      <c r="F154" s="107"/>
      <c r="G154" s="107"/>
      <c r="H154" s="107"/>
      <c r="I154" s="107"/>
      <c r="J154" s="107"/>
      <c r="K154" s="107"/>
      <c r="L154" s="17"/>
    </row>
    <row r="155" spans="1:12">
      <c r="A155" s="17" t="s">
        <v>858</v>
      </c>
      <c r="B155" s="17" t="s">
        <v>221</v>
      </c>
      <c r="C155" s="17">
        <v>6</v>
      </c>
      <c r="D155" s="17">
        <v>5000</v>
      </c>
      <c r="E155" s="17">
        <v>0</v>
      </c>
      <c r="F155" s="17">
        <v>0</v>
      </c>
      <c r="G155" s="17">
        <f t="shared" ref="G155:G156" si="24">D155+E155-F155</f>
        <v>5000</v>
      </c>
      <c r="H155" s="17" t="s">
        <v>612</v>
      </c>
      <c r="I155" s="17">
        <v>0</v>
      </c>
      <c r="J155" s="17">
        <v>0</v>
      </c>
      <c r="K155" s="17">
        <f t="shared" ref="K155:K162" si="25">I155-J155-L155</f>
        <v>0</v>
      </c>
      <c r="L155" s="17"/>
    </row>
    <row r="156" spans="1:12">
      <c r="A156" s="107" t="s">
        <v>859</v>
      </c>
      <c r="B156" s="107" t="s">
        <v>200</v>
      </c>
      <c r="C156" s="107">
        <v>6</v>
      </c>
      <c r="D156" s="107">
        <v>20000</v>
      </c>
      <c r="E156" s="107">
        <v>0</v>
      </c>
      <c r="F156" s="107">
        <v>0</v>
      </c>
      <c r="G156" s="107">
        <f t="shared" si="24"/>
        <v>20000</v>
      </c>
      <c r="H156" s="167" t="s">
        <v>612</v>
      </c>
      <c r="I156" s="107">
        <v>0</v>
      </c>
      <c r="J156" s="107">
        <v>0</v>
      </c>
      <c r="K156" s="107">
        <f t="shared" si="25"/>
        <v>0</v>
      </c>
      <c r="L156" s="17"/>
    </row>
    <row r="157" spans="1:12">
      <c r="A157" s="107"/>
      <c r="B157" s="107" t="s">
        <v>201</v>
      </c>
      <c r="C157" s="107">
        <v>4</v>
      </c>
      <c r="D157" s="107">
        <v>20000</v>
      </c>
      <c r="E157" s="107"/>
      <c r="F157" s="107"/>
      <c r="G157" s="107"/>
      <c r="H157" s="167" t="s">
        <v>612</v>
      </c>
      <c r="I157" s="107">
        <v>0</v>
      </c>
      <c r="J157" s="107">
        <v>0</v>
      </c>
      <c r="K157" s="107">
        <f t="shared" si="25"/>
        <v>0</v>
      </c>
      <c r="L157" s="17"/>
    </row>
    <row r="158" spans="1:12">
      <c r="A158" s="107"/>
      <c r="B158" s="107" t="s">
        <v>860</v>
      </c>
      <c r="C158" s="107" t="s">
        <v>861</v>
      </c>
      <c r="D158" s="107"/>
      <c r="E158" s="107"/>
      <c r="F158" s="107"/>
      <c r="G158" s="107"/>
      <c r="H158" s="167" t="s">
        <v>612</v>
      </c>
      <c r="I158" s="107">
        <v>0</v>
      </c>
      <c r="J158" s="107">
        <v>0</v>
      </c>
      <c r="K158" s="107">
        <f t="shared" si="25"/>
        <v>0</v>
      </c>
      <c r="L158" s="17"/>
    </row>
    <row r="159" spans="1:12">
      <c r="A159" s="17" t="s">
        <v>862</v>
      </c>
      <c r="B159" s="17" t="s">
        <v>707</v>
      </c>
      <c r="C159" s="17">
        <v>5</v>
      </c>
      <c r="D159" s="17">
        <v>4000</v>
      </c>
      <c r="E159" s="17">
        <v>10000</v>
      </c>
      <c r="F159" s="17">
        <v>3000</v>
      </c>
      <c r="G159" s="17">
        <f t="shared" ref="G159:G162" si="26">D159+E159-F159</f>
        <v>11000</v>
      </c>
      <c r="H159" s="17"/>
      <c r="I159" s="17">
        <v>3000</v>
      </c>
      <c r="J159" s="17">
        <v>3000</v>
      </c>
      <c r="K159" s="17">
        <f t="shared" si="25"/>
        <v>0</v>
      </c>
      <c r="L159" s="17"/>
    </row>
    <row r="160" spans="1:12">
      <c r="A160" s="107" t="s">
        <v>865</v>
      </c>
      <c r="B160" s="107" t="s">
        <v>863</v>
      </c>
      <c r="C160" s="107">
        <v>5</v>
      </c>
      <c r="D160" s="107">
        <v>0</v>
      </c>
      <c r="E160" s="107">
        <v>0</v>
      </c>
      <c r="F160" s="107">
        <v>0</v>
      </c>
      <c r="G160" s="107">
        <f t="shared" si="26"/>
        <v>0</v>
      </c>
      <c r="H160" s="107"/>
      <c r="I160" s="107">
        <v>0</v>
      </c>
      <c r="J160" s="107">
        <v>0</v>
      </c>
      <c r="K160" s="107">
        <f t="shared" si="25"/>
        <v>0</v>
      </c>
      <c r="L160" s="17"/>
    </row>
    <row r="161" spans="1:12">
      <c r="A161" s="107"/>
      <c r="B161" s="107" t="s">
        <v>864</v>
      </c>
      <c r="C161" s="107" t="s">
        <v>861</v>
      </c>
      <c r="D161" s="107"/>
      <c r="E161" s="107"/>
      <c r="F161" s="107"/>
      <c r="G161" s="107"/>
      <c r="H161" s="107"/>
      <c r="I161" s="107">
        <v>0</v>
      </c>
      <c r="J161" s="107">
        <v>0</v>
      </c>
      <c r="K161" s="107">
        <f t="shared" si="25"/>
        <v>0</v>
      </c>
      <c r="L161" s="17"/>
    </row>
    <row r="162" spans="1:12">
      <c r="A162" s="17" t="s">
        <v>867</v>
      </c>
      <c r="B162" s="17" t="s">
        <v>866</v>
      </c>
      <c r="C162" s="17">
        <v>5</v>
      </c>
      <c r="D162" s="17">
        <v>10000</v>
      </c>
      <c r="E162" s="17">
        <v>15000</v>
      </c>
      <c r="F162" s="17">
        <v>5000</v>
      </c>
      <c r="G162" s="17">
        <f t="shared" si="26"/>
        <v>20000</v>
      </c>
      <c r="H162" s="17"/>
      <c r="I162" s="17">
        <v>5000</v>
      </c>
      <c r="J162" s="17">
        <v>0</v>
      </c>
      <c r="K162" s="17">
        <f t="shared" si="25"/>
        <v>5000</v>
      </c>
      <c r="L162" s="17"/>
    </row>
    <row r="163" spans="1:12">
      <c r="A163" s="17"/>
      <c r="B163" s="17" t="s">
        <v>215</v>
      </c>
      <c r="C163" s="17">
        <v>4</v>
      </c>
      <c r="D163" s="17"/>
      <c r="E163" s="17"/>
      <c r="F163" s="17"/>
      <c r="G163" s="17"/>
      <c r="H163" s="17"/>
      <c r="I163" s="17"/>
      <c r="J163" s="17"/>
      <c r="K163" s="17"/>
      <c r="L163" s="17"/>
    </row>
    <row r="164" spans="1:12">
      <c r="A164" s="17"/>
      <c r="B164" s="17" t="s">
        <v>297</v>
      </c>
      <c r="C164" s="17" t="s">
        <v>130</v>
      </c>
      <c r="D164" s="17"/>
      <c r="E164" s="17"/>
      <c r="F164" s="17"/>
      <c r="G164" s="17"/>
      <c r="H164" s="17"/>
      <c r="I164" s="17"/>
      <c r="J164" s="17"/>
      <c r="K164" s="17"/>
      <c r="L164" s="17"/>
    </row>
    <row r="165" spans="1:12">
      <c r="A165" s="107" t="s">
        <v>870</v>
      </c>
      <c r="B165" s="107" t="s">
        <v>868</v>
      </c>
      <c r="C165" s="107">
        <v>5</v>
      </c>
      <c r="D165" s="107">
        <v>0</v>
      </c>
      <c r="E165" s="107">
        <v>0</v>
      </c>
      <c r="F165" s="107">
        <v>0</v>
      </c>
      <c r="G165" s="107">
        <f t="shared" ref="G165" si="27">D165+E165-F165</f>
        <v>0</v>
      </c>
      <c r="H165" s="107"/>
      <c r="I165" s="107">
        <v>4200</v>
      </c>
      <c r="J165" s="107">
        <v>0</v>
      </c>
      <c r="K165" s="107">
        <f t="shared" ref="K165" si="28">I165-J165-L165</f>
        <v>4200</v>
      </c>
      <c r="L165" s="17"/>
    </row>
    <row r="166" spans="1:12">
      <c r="A166" s="107"/>
      <c r="B166" s="107" t="s">
        <v>869</v>
      </c>
      <c r="C166" s="107">
        <v>1</v>
      </c>
      <c r="D166" s="107"/>
      <c r="E166" s="107"/>
      <c r="F166" s="107"/>
      <c r="G166" s="107"/>
      <c r="H166" s="107"/>
      <c r="I166" s="107"/>
      <c r="J166" s="107"/>
      <c r="K166" s="107"/>
      <c r="L166" s="17"/>
    </row>
    <row r="167" spans="1:12">
      <c r="A167" s="17" t="s">
        <v>874</v>
      </c>
      <c r="B167" s="17" t="s">
        <v>871</v>
      </c>
      <c r="C167" s="17">
        <v>5</v>
      </c>
      <c r="D167" s="17">
        <v>4000</v>
      </c>
      <c r="E167" s="17">
        <v>10000</v>
      </c>
      <c r="F167" s="17">
        <v>4000</v>
      </c>
      <c r="G167" s="17">
        <f t="shared" ref="G167" si="29">D167+E167-F167</f>
        <v>10000</v>
      </c>
      <c r="H167" s="17" t="s">
        <v>875</v>
      </c>
      <c r="I167" s="17">
        <v>5400</v>
      </c>
      <c r="J167" s="17">
        <v>0</v>
      </c>
      <c r="K167" s="17">
        <f t="shared" ref="K167" si="30">I167-J167-L167</f>
        <v>5400</v>
      </c>
      <c r="L167" s="17"/>
    </row>
    <row r="168" spans="1:12">
      <c r="A168" s="17"/>
      <c r="B168" s="17" t="s">
        <v>872</v>
      </c>
      <c r="C168" s="17">
        <v>1</v>
      </c>
      <c r="D168" s="17"/>
      <c r="E168" s="17"/>
      <c r="F168" s="17"/>
      <c r="G168" s="17"/>
      <c r="H168" s="17"/>
      <c r="I168" s="17"/>
      <c r="J168" s="17"/>
      <c r="K168" s="17"/>
      <c r="L168" s="17"/>
    </row>
    <row r="169" spans="1:12">
      <c r="A169" s="17"/>
      <c r="B169" s="17" t="s">
        <v>873</v>
      </c>
      <c r="C169" s="17">
        <v>1</v>
      </c>
      <c r="D169" s="17"/>
      <c r="E169" s="17"/>
      <c r="F169" s="17"/>
      <c r="G169" s="17"/>
      <c r="H169" s="17"/>
      <c r="I169" s="17"/>
      <c r="J169" s="17"/>
      <c r="K169" s="17"/>
      <c r="L169" s="17"/>
    </row>
    <row r="170" spans="1:12">
      <c r="A170" s="107" t="s">
        <v>876</v>
      </c>
      <c r="B170" s="107" t="s">
        <v>222</v>
      </c>
      <c r="C170" s="107">
        <v>5</v>
      </c>
      <c r="D170" s="107">
        <v>4000</v>
      </c>
      <c r="E170" s="107">
        <v>12500</v>
      </c>
      <c r="F170" s="107">
        <v>10500</v>
      </c>
      <c r="G170" s="107">
        <f t="shared" ref="G170" si="31">D170+E170-F170</f>
        <v>6000</v>
      </c>
      <c r="H170" s="167" t="s">
        <v>612</v>
      </c>
      <c r="I170" s="107">
        <v>2500</v>
      </c>
      <c r="J170" s="107">
        <v>2500</v>
      </c>
      <c r="K170" s="107">
        <f t="shared" ref="K170" si="32">I170-J170-L170</f>
        <v>0</v>
      </c>
      <c r="L170" s="17"/>
    </row>
    <row r="171" spans="1:12">
      <c r="A171" s="107"/>
      <c r="B171" s="107" t="s">
        <v>877</v>
      </c>
      <c r="C171" s="107" t="s">
        <v>98</v>
      </c>
      <c r="D171" s="107"/>
      <c r="E171" s="107"/>
      <c r="F171" s="107"/>
      <c r="G171" s="107"/>
      <c r="H171" s="167" t="s">
        <v>612</v>
      </c>
      <c r="I171" s="107"/>
      <c r="J171" s="107"/>
      <c r="K171" s="107"/>
      <c r="L171" s="17"/>
    </row>
    <row r="172" spans="1:12">
      <c r="A172" s="17" t="s">
        <v>880</v>
      </c>
      <c r="B172" s="17" t="s">
        <v>1000</v>
      </c>
      <c r="C172" s="17">
        <v>5</v>
      </c>
      <c r="D172" s="17">
        <v>0</v>
      </c>
      <c r="E172" s="17">
        <v>18000</v>
      </c>
      <c r="F172" s="17"/>
      <c r="G172" s="17">
        <f t="shared" ref="G172" si="33">D172+E172-F172</f>
        <v>18000</v>
      </c>
      <c r="H172" s="17"/>
      <c r="I172" s="17">
        <v>6000</v>
      </c>
      <c r="J172" s="17">
        <v>0</v>
      </c>
      <c r="K172" s="17">
        <f t="shared" ref="K172" si="34">I172-J172-L172</f>
        <v>6000</v>
      </c>
      <c r="L172" s="17"/>
    </row>
    <row r="173" spans="1:12">
      <c r="A173" s="17"/>
      <c r="B173" s="17" t="s">
        <v>878</v>
      </c>
      <c r="C173" s="17">
        <v>5</v>
      </c>
      <c r="D173" s="17"/>
      <c r="E173" s="17"/>
      <c r="F173" s="17"/>
      <c r="G173" s="17"/>
      <c r="H173" s="17"/>
      <c r="I173" s="17"/>
      <c r="J173" s="17"/>
      <c r="K173" s="17"/>
      <c r="L173" s="17"/>
    </row>
    <row r="174" spans="1:12">
      <c r="A174" s="17"/>
      <c r="B174" s="17" t="s">
        <v>879</v>
      </c>
      <c r="C174" s="17" t="s">
        <v>861</v>
      </c>
      <c r="D174" s="17"/>
      <c r="E174" s="17"/>
      <c r="F174" s="17"/>
      <c r="G174" s="17"/>
      <c r="H174" s="17"/>
      <c r="I174" s="17"/>
      <c r="J174" s="17"/>
      <c r="K174" s="17"/>
      <c r="L174" s="17"/>
    </row>
    <row r="175" spans="1:12">
      <c r="A175" s="107" t="s">
        <v>656</v>
      </c>
      <c r="B175" s="107" t="s">
        <v>881</v>
      </c>
      <c r="C175" s="107">
        <v>5</v>
      </c>
      <c r="D175" s="107">
        <v>10000</v>
      </c>
      <c r="E175" s="107">
        <v>20500</v>
      </c>
      <c r="F175" s="107">
        <v>15500</v>
      </c>
      <c r="G175" s="107">
        <f t="shared" ref="G175" si="35">D175+E175-F175</f>
        <v>15000</v>
      </c>
      <c r="H175" s="107"/>
      <c r="I175" s="107">
        <v>6000</v>
      </c>
      <c r="J175" s="107">
        <v>6000</v>
      </c>
      <c r="K175" s="107">
        <f t="shared" ref="K175" si="36">I175-J175-L175</f>
        <v>0</v>
      </c>
      <c r="L175" s="17"/>
    </row>
    <row r="176" spans="1:12">
      <c r="A176" s="107"/>
      <c r="B176" s="107" t="s">
        <v>882</v>
      </c>
      <c r="C176" s="107">
        <v>2</v>
      </c>
      <c r="D176" s="107"/>
      <c r="E176" s="107"/>
      <c r="F176" s="107"/>
      <c r="G176" s="107"/>
      <c r="H176" s="107"/>
      <c r="I176" s="107"/>
      <c r="J176" s="107"/>
      <c r="K176" s="107"/>
      <c r="L176" s="17"/>
    </row>
    <row r="177" spans="1:12">
      <c r="A177" s="17" t="s">
        <v>883</v>
      </c>
      <c r="B177" s="17" t="s">
        <v>274</v>
      </c>
      <c r="C177" s="17">
        <v>5</v>
      </c>
      <c r="D177" s="17">
        <v>0</v>
      </c>
      <c r="E177" s="17">
        <v>5500</v>
      </c>
      <c r="F177" s="17"/>
      <c r="G177" s="17">
        <f t="shared" ref="G177:G193" si="37">D177+E177-F177</f>
        <v>5500</v>
      </c>
      <c r="H177" s="17" t="s">
        <v>884</v>
      </c>
      <c r="I177" s="17">
        <v>2500</v>
      </c>
      <c r="J177" s="17">
        <v>2500</v>
      </c>
      <c r="K177" s="17">
        <f t="shared" ref="K177:K184" si="38">I177-J177-L177</f>
        <v>0</v>
      </c>
      <c r="L177" s="17"/>
    </row>
    <row r="178" spans="1:12">
      <c r="A178" s="107" t="s">
        <v>885</v>
      </c>
      <c r="B178" s="107" t="s">
        <v>223</v>
      </c>
      <c r="C178" s="107">
        <v>5</v>
      </c>
      <c r="D178" s="107">
        <v>5000</v>
      </c>
      <c r="E178" s="107">
        <v>14500</v>
      </c>
      <c r="F178" s="107">
        <v>10000</v>
      </c>
      <c r="G178" s="107">
        <f t="shared" si="37"/>
        <v>9500</v>
      </c>
      <c r="H178" s="107"/>
      <c r="I178" s="107">
        <v>3500</v>
      </c>
      <c r="J178" s="107">
        <v>1000</v>
      </c>
      <c r="K178" s="107">
        <f t="shared" si="38"/>
        <v>2500</v>
      </c>
      <c r="L178" s="17"/>
    </row>
    <row r="179" spans="1:12">
      <c r="A179" s="17" t="s">
        <v>886</v>
      </c>
      <c r="B179" s="17" t="s">
        <v>244</v>
      </c>
      <c r="C179" s="17">
        <v>4</v>
      </c>
      <c r="D179" s="17">
        <v>15000</v>
      </c>
      <c r="E179" s="17">
        <v>15000</v>
      </c>
      <c r="F179" s="17">
        <v>5000</v>
      </c>
      <c r="G179" s="17">
        <f t="shared" si="37"/>
        <v>25000</v>
      </c>
      <c r="H179" s="33" t="s">
        <v>612</v>
      </c>
      <c r="I179" s="17">
        <v>0</v>
      </c>
      <c r="J179" s="17">
        <v>0</v>
      </c>
      <c r="K179" s="17">
        <f t="shared" si="38"/>
        <v>0</v>
      </c>
      <c r="L179" s="17"/>
    </row>
    <row r="180" spans="1:12">
      <c r="A180" s="17"/>
      <c r="B180" s="17" t="s">
        <v>172</v>
      </c>
      <c r="C180" s="17">
        <v>1</v>
      </c>
      <c r="D180" s="17"/>
      <c r="E180" s="17"/>
      <c r="F180" s="17"/>
      <c r="G180" s="17"/>
      <c r="H180" s="33" t="s">
        <v>612</v>
      </c>
      <c r="I180" s="17"/>
      <c r="J180" s="17"/>
      <c r="K180" s="17"/>
      <c r="L180" s="17"/>
    </row>
    <row r="181" spans="1:12">
      <c r="A181" s="107" t="s">
        <v>887</v>
      </c>
      <c r="B181" s="107" t="s">
        <v>226</v>
      </c>
      <c r="C181" s="107">
        <v>4</v>
      </c>
      <c r="D181" s="107">
        <v>3000</v>
      </c>
      <c r="E181" s="107">
        <v>15000</v>
      </c>
      <c r="F181" s="107"/>
      <c r="G181" s="107">
        <f t="shared" si="37"/>
        <v>18000</v>
      </c>
      <c r="H181" s="107"/>
      <c r="I181" s="107">
        <v>0</v>
      </c>
      <c r="J181" s="107">
        <v>0</v>
      </c>
      <c r="K181" s="107">
        <f t="shared" si="38"/>
        <v>0</v>
      </c>
      <c r="L181" s="17"/>
    </row>
    <row r="182" spans="1:12">
      <c r="A182" s="107"/>
      <c r="B182" s="107" t="s">
        <v>888</v>
      </c>
      <c r="C182" s="107">
        <v>1</v>
      </c>
      <c r="D182" s="107"/>
      <c r="E182" s="107"/>
      <c r="F182" s="107"/>
      <c r="G182" s="107"/>
      <c r="H182" s="107"/>
      <c r="I182" s="107"/>
      <c r="J182" s="107"/>
      <c r="K182" s="107"/>
      <c r="L182" s="17"/>
    </row>
    <row r="183" spans="1:12">
      <c r="A183" s="17" t="s">
        <v>889</v>
      </c>
      <c r="B183" s="17" t="s">
        <v>245</v>
      </c>
      <c r="C183" s="17">
        <v>4</v>
      </c>
      <c r="D183" s="17">
        <v>6000</v>
      </c>
      <c r="E183" s="17">
        <v>0</v>
      </c>
      <c r="F183" s="17">
        <v>0</v>
      </c>
      <c r="G183" s="17">
        <f t="shared" si="37"/>
        <v>6000</v>
      </c>
      <c r="H183" s="33" t="s">
        <v>612</v>
      </c>
      <c r="I183" s="17">
        <v>0</v>
      </c>
      <c r="J183" s="17">
        <v>0</v>
      </c>
      <c r="K183" s="17">
        <f t="shared" si="38"/>
        <v>0</v>
      </c>
      <c r="L183" s="17"/>
    </row>
    <row r="184" spans="1:12">
      <c r="A184" s="107" t="s">
        <v>890</v>
      </c>
      <c r="B184" s="107" t="s">
        <v>228</v>
      </c>
      <c r="C184" s="107">
        <v>4</v>
      </c>
      <c r="D184" s="107">
        <v>5000</v>
      </c>
      <c r="E184" s="107">
        <v>3000</v>
      </c>
      <c r="F184" s="107">
        <v>8000</v>
      </c>
      <c r="G184" s="107">
        <f t="shared" si="37"/>
        <v>0</v>
      </c>
      <c r="H184" s="167" t="s">
        <v>612</v>
      </c>
      <c r="I184" s="107">
        <v>0</v>
      </c>
      <c r="J184" s="107">
        <v>0</v>
      </c>
      <c r="K184" s="107">
        <f t="shared" si="38"/>
        <v>0</v>
      </c>
      <c r="L184" s="17"/>
    </row>
    <row r="185" spans="1:12">
      <c r="A185" s="107"/>
      <c r="B185" s="107" t="s">
        <v>229</v>
      </c>
      <c r="C185" s="107" t="s">
        <v>98</v>
      </c>
      <c r="D185" s="107"/>
      <c r="E185" s="107"/>
      <c r="F185" s="107"/>
      <c r="G185" s="107"/>
      <c r="H185" s="167" t="s">
        <v>612</v>
      </c>
      <c r="I185" s="107">
        <v>0</v>
      </c>
      <c r="J185" s="107">
        <v>0</v>
      </c>
      <c r="K185" s="107">
        <f t="shared" ref="K185:K193" si="39">I185-J185-L185</f>
        <v>0</v>
      </c>
      <c r="L185" s="17"/>
    </row>
    <row r="186" spans="1:12">
      <c r="A186" s="17" t="s">
        <v>891</v>
      </c>
      <c r="B186" s="17" t="s">
        <v>232</v>
      </c>
      <c r="C186" s="17">
        <v>4</v>
      </c>
      <c r="D186" s="17">
        <v>6000</v>
      </c>
      <c r="E186" s="17">
        <v>10000</v>
      </c>
      <c r="F186" s="17">
        <v>4000</v>
      </c>
      <c r="G186" s="17">
        <f t="shared" si="37"/>
        <v>12000</v>
      </c>
      <c r="H186" s="17"/>
      <c r="I186" s="17">
        <v>0</v>
      </c>
      <c r="J186" s="17">
        <v>0</v>
      </c>
      <c r="K186" s="17">
        <f t="shared" si="39"/>
        <v>0</v>
      </c>
      <c r="L186" s="17"/>
    </row>
    <row r="187" spans="1:12">
      <c r="A187" s="17"/>
      <c r="B187" s="17" t="s">
        <v>892</v>
      </c>
      <c r="C187" s="17">
        <v>1</v>
      </c>
      <c r="D187" s="17"/>
      <c r="E187" s="17"/>
      <c r="F187" s="17"/>
      <c r="G187" s="17"/>
      <c r="H187" s="17"/>
      <c r="I187" s="17"/>
      <c r="J187" s="17"/>
      <c r="K187" s="17"/>
      <c r="L187" s="17"/>
    </row>
    <row r="188" spans="1:12">
      <c r="A188" s="107" t="s">
        <v>894</v>
      </c>
      <c r="B188" s="107" t="s">
        <v>893</v>
      </c>
      <c r="C188" s="107">
        <v>4</v>
      </c>
      <c r="D188" s="107">
        <v>7000</v>
      </c>
      <c r="E188" s="107">
        <v>9000</v>
      </c>
      <c r="F188" s="107">
        <v>16000</v>
      </c>
      <c r="G188" s="107">
        <f t="shared" si="37"/>
        <v>0</v>
      </c>
      <c r="H188" s="107"/>
      <c r="I188" s="107">
        <v>3000</v>
      </c>
      <c r="J188" s="107">
        <v>3000</v>
      </c>
      <c r="K188" s="107">
        <f t="shared" si="39"/>
        <v>0</v>
      </c>
      <c r="L188" s="17"/>
    </row>
    <row r="189" spans="1:12">
      <c r="A189" s="17" t="s">
        <v>896</v>
      </c>
      <c r="B189" s="17" t="s">
        <v>241</v>
      </c>
      <c r="C189" s="17">
        <v>4</v>
      </c>
      <c r="D189" s="17">
        <v>9000</v>
      </c>
      <c r="E189" s="17">
        <v>13000</v>
      </c>
      <c r="F189" s="17">
        <v>13000</v>
      </c>
      <c r="G189" s="17">
        <f t="shared" si="37"/>
        <v>9000</v>
      </c>
      <c r="H189" s="33" t="s">
        <v>1001</v>
      </c>
      <c r="I189" s="17">
        <v>6000</v>
      </c>
      <c r="J189" s="17">
        <v>3000</v>
      </c>
      <c r="K189" s="17">
        <f t="shared" si="39"/>
        <v>3000</v>
      </c>
      <c r="L189" s="17"/>
    </row>
    <row r="190" spans="1:12">
      <c r="A190" s="17"/>
      <c r="B190" s="17" t="s">
        <v>895</v>
      </c>
      <c r="C190" s="17" t="s">
        <v>861</v>
      </c>
      <c r="D190" s="17"/>
      <c r="E190" s="17"/>
      <c r="F190" s="17"/>
      <c r="G190" s="17"/>
      <c r="H190" s="33" t="s">
        <v>612</v>
      </c>
      <c r="I190" s="17"/>
      <c r="J190" s="17"/>
      <c r="K190" s="17"/>
      <c r="L190" s="17"/>
    </row>
    <row r="191" spans="1:12">
      <c r="A191" s="107" t="s">
        <v>897</v>
      </c>
      <c r="B191" s="107" t="s">
        <v>246</v>
      </c>
      <c r="C191" s="107">
        <v>4</v>
      </c>
      <c r="D191" s="107">
        <v>20000</v>
      </c>
      <c r="E191" s="107">
        <v>25000</v>
      </c>
      <c r="F191" s="107">
        <v>5000</v>
      </c>
      <c r="G191" s="107">
        <f t="shared" si="37"/>
        <v>40000</v>
      </c>
      <c r="H191" s="167" t="s">
        <v>1001</v>
      </c>
      <c r="I191" s="107">
        <v>6000</v>
      </c>
      <c r="J191" s="107">
        <v>0</v>
      </c>
      <c r="K191" s="107">
        <f t="shared" si="39"/>
        <v>6000</v>
      </c>
      <c r="L191" s="17"/>
    </row>
    <row r="192" spans="1:12">
      <c r="A192" s="107"/>
      <c r="B192" s="107" t="s">
        <v>186</v>
      </c>
      <c r="C192" s="107">
        <v>2</v>
      </c>
      <c r="D192" s="107"/>
      <c r="E192" s="107"/>
      <c r="F192" s="107"/>
      <c r="G192" s="107"/>
      <c r="H192" s="167" t="s">
        <v>612</v>
      </c>
      <c r="I192" s="107"/>
      <c r="J192" s="107"/>
      <c r="K192" s="107"/>
      <c r="L192" s="17"/>
    </row>
    <row r="193" spans="1:12">
      <c r="A193" s="17" t="s">
        <v>901</v>
      </c>
      <c r="B193" s="17" t="s">
        <v>898</v>
      </c>
      <c r="C193" s="17">
        <v>4</v>
      </c>
      <c r="D193" s="17">
        <v>5800</v>
      </c>
      <c r="E193" s="17">
        <v>14000</v>
      </c>
      <c r="F193" s="17">
        <v>19800</v>
      </c>
      <c r="G193" s="17">
        <f t="shared" si="37"/>
        <v>0</v>
      </c>
      <c r="H193" s="33" t="s">
        <v>612</v>
      </c>
      <c r="I193" s="17">
        <v>0</v>
      </c>
      <c r="J193" s="17">
        <v>0</v>
      </c>
      <c r="K193" s="17">
        <f t="shared" si="39"/>
        <v>0</v>
      </c>
      <c r="L193" s="17"/>
    </row>
    <row r="194" spans="1:12">
      <c r="A194" s="17"/>
      <c r="B194" s="17" t="s">
        <v>899</v>
      </c>
      <c r="C194" s="17">
        <v>3</v>
      </c>
      <c r="D194" s="17"/>
      <c r="E194" s="17"/>
      <c r="F194" s="17"/>
      <c r="G194" s="17"/>
      <c r="H194" s="33" t="s">
        <v>612</v>
      </c>
      <c r="I194" s="17">
        <v>0</v>
      </c>
      <c r="J194" s="17">
        <v>0</v>
      </c>
      <c r="K194" s="17">
        <f t="shared" ref="K194:K200" si="40">I194-J194-L194</f>
        <v>0</v>
      </c>
      <c r="L194" s="17"/>
    </row>
    <row r="195" spans="1:12">
      <c r="A195" s="17"/>
      <c r="B195" s="17" t="s">
        <v>900</v>
      </c>
      <c r="C195" s="17">
        <v>3</v>
      </c>
      <c r="D195" s="17"/>
      <c r="E195" s="17"/>
      <c r="F195" s="17"/>
      <c r="G195" s="17"/>
      <c r="H195" s="33" t="s">
        <v>612</v>
      </c>
      <c r="I195" s="17">
        <v>0</v>
      </c>
      <c r="J195" s="17">
        <v>0</v>
      </c>
      <c r="K195" s="17">
        <f t="shared" si="40"/>
        <v>0</v>
      </c>
      <c r="L195" s="17"/>
    </row>
    <row r="196" spans="1:12">
      <c r="A196" s="107" t="s">
        <v>902</v>
      </c>
      <c r="B196" s="107" t="s">
        <v>239</v>
      </c>
      <c r="C196" s="107">
        <v>4</v>
      </c>
      <c r="D196" s="107">
        <v>4000</v>
      </c>
      <c r="E196" s="107">
        <v>0</v>
      </c>
      <c r="F196" s="107">
        <v>0</v>
      </c>
      <c r="G196" s="107">
        <f t="shared" ref="G196:G200" si="41">D196+E196-F196</f>
        <v>4000</v>
      </c>
      <c r="H196" s="167" t="s">
        <v>612</v>
      </c>
      <c r="I196" s="107">
        <v>0</v>
      </c>
      <c r="J196" s="107">
        <v>0</v>
      </c>
      <c r="K196" s="107">
        <f t="shared" si="40"/>
        <v>0</v>
      </c>
      <c r="L196" s="17"/>
    </row>
    <row r="197" spans="1:12">
      <c r="A197" s="17" t="s">
        <v>905</v>
      </c>
      <c r="B197" s="17" t="s">
        <v>904</v>
      </c>
      <c r="C197" s="17">
        <v>4</v>
      </c>
      <c r="D197" s="17">
        <v>5000</v>
      </c>
      <c r="E197" s="17">
        <v>20000</v>
      </c>
      <c r="F197" s="17">
        <v>5000</v>
      </c>
      <c r="G197" s="17">
        <f t="shared" si="41"/>
        <v>20000</v>
      </c>
      <c r="H197" s="17"/>
      <c r="I197" s="17">
        <v>6000</v>
      </c>
      <c r="J197" s="17">
        <v>4000</v>
      </c>
      <c r="K197" s="17">
        <f t="shared" si="40"/>
        <v>2000</v>
      </c>
      <c r="L197" s="17"/>
    </row>
    <row r="198" spans="1:12">
      <c r="A198" s="17"/>
      <c r="B198" s="17" t="s">
        <v>903</v>
      </c>
      <c r="C198" s="17">
        <v>1</v>
      </c>
      <c r="D198" s="17"/>
      <c r="E198" s="17"/>
      <c r="F198" s="17"/>
      <c r="G198" s="17"/>
      <c r="H198" s="17"/>
      <c r="I198" s="17"/>
      <c r="J198" s="17"/>
      <c r="K198" s="17"/>
      <c r="L198" s="17"/>
    </row>
    <row r="199" spans="1:12">
      <c r="A199" s="107" t="s">
        <v>907</v>
      </c>
      <c r="B199" s="107" t="s">
        <v>906</v>
      </c>
      <c r="C199" s="107">
        <v>4</v>
      </c>
      <c r="D199" s="107"/>
      <c r="E199" s="107">
        <v>6000</v>
      </c>
      <c r="F199" s="107">
        <v>3500</v>
      </c>
      <c r="G199" s="107">
        <f t="shared" si="41"/>
        <v>2500</v>
      </c>
      <c r="H199" s="167" t="s">
        <v>612</v>
      </c>
      <c r="I199" s="107">
        <v>0</v>
      </c>
      <c r="J199" s="107">
        <v>0</v>
      </c>
      <c r="K199" s="107">
        <f t="shared" si="40"/>
        <v>0</v>
      </c>
      <c r="L199" s="17"/>
    </row>
    <row r="200" spans="1:12">
      <c r="A200" s="17" t="s">
        <v>909</v>
      </c>
      <c r="B200" s="32" t="s">
        <v>172</v>
      </c>
      <c r="C200" s="17">
        <v>3</v>
      </c>
      <c r="D200" s="17">
        <v>4000</v>
      </c>
      <c r="E200" s="17">
        <v>12500</v>
      </c>
      <c r="F200" s="17">
        <v>9000</v>
      </c>
      <c r="G200" s="17">
        <f t="shared" si="41"/>
        <v>7500</v>
      </c>
      <c r="H200" s="17"/>
      <c r="I200" s="17">
        <v>9000</v>
      </c>
      <c r="J200" s="17">
        <v>4500</v>
      </c>
      <c r="K200" s="17">
        <f t="shared" si="40"/>
        <v>4500</v>
      </c>
      <c r="L200" s="17"/>
    </row>
    <row r="201" spans="1:12">
      <c r="A201" s="17"/>
      <c r="B201" s="17" t="s">
        <v>910</v>
      </c>
      <c r="C201" s="17" t="s">
        <v>861</v>
      </c>
      <c r="D201" s="17"/>
      <c r="E201" s="17"/>
      <c r="F201" s="17"/>
      <c r="G201" s="17"/>
      <c r="H201" s="17"/>
      <c r="I201" s="17"/>
      <c r="J201" s="17"/>
      <c r="K201" s="17"/>
      <c r="L201" s="17"/>
    </row>
    <row r="202" spans="1:12">
      <c r="A202" s="17"/>
      <c r="B202" s="17" t="s">
        <v>908</v>
      </c>
      <c r="C202" s="17" t="s">
        <v>130</v>
      </c>
      <c r="D202" s="17"/>
      <c r="E202" s="17"/>
      <c r="F202" s="17"/>
      <c r="G202" s="17"/>
      <c r="H202" s="17"/>
      <c r="I202" s="17"/>
      <c r="J202" s="17"/>
      <c r="K202" s="17"/>
      <c r="L202" s="17"/>
    </row>
    <row r="203" spans="1:12">
      <c r="A203" s="107" t="s">
        <v>913</v>
      </c>
      <c r="B203" s="107" t="s">
        <v>914</v>
      </c>
      <c r="C203" s="107">
        <v>3</v>
      </c>
      <c r="D203" s="107">
        <v>0</v>
      </c>
      <c r="E203" s="107">
        <v>15000</v>
      </c>
      <c r="F203" s="107">
        <v>0</v>
      </c>
      <c r="G203" s="107">
        <f t="shared" ref="G203" si="42">D203+E203-F203</f>
        <v>15000</v>
      </c>
      <c r="H203" s="107"/>
      <c r="I203" s="107">
        <v>0</v>
      </c>
      <c r="J203" s="107">
        <v>0</v>
      </c>
      <c r="K203" s="107">
        <f t="shared" ref="K203" si="43">I203-J203-L203</f>
        <v>0</v>
      </c>
      <c r="L203" s="17"/>
    </row>
    <row r="204" spans="1:12">
      <c r="A204" s="107"/>
      <c r="B204" s="107" t="s">
        <v>915</v>
      </c>
      <c r="C204" s="107">
        <v>1</v>
      </c>
      <c r="D204" s="107"/>
      <c r="E204" s="107"/>
      <c r="F204" s="107"/>
      <c r="G204" s="107"/>
      <c r="H204" s="107"/>
      <c r="I204" s="107"/>
      <c r="J204" s="107"/>
      <c r="K204" s="107"/>
      <c r="L204" s="17"/>
    </row>
    <row r="205" spans="1:12">
      <c r="A205" s="107"/>
      <c r="B205" s="107" t="s">
        <v>911</v>
      </c>
      <c r="C205" s="107" t="s">
        <v>98</v>
      </c>
      <c r="D205" s="107"/>
      <c r="E205" s="107"/>
      <c r="F205" s="107"/>
      <c r="G205" s="107"/>
      <c r="H205" s="107"/>
      <c r="I205" s="107"/>
      <c r="J205" s="107"/>
      <c r="K205" s="107"/>
      <c r="L205" s="17"/>
    </row>
    <row r="206" spans="1:12">
      <c r="A206" s="107"/>
      <c r="B206" s="107" t="s">
        <v>912</v>
      </c>
      <c r="C206" s="107" t="s">
        <v>130</v>
      </c>
      <c r="D206" s="107"/>
      <c r="E206" s="107"/>
      <c r="F206" s="107"/>
      <c r="G206" s="107"/>
      <c r="H206" s="107"/>
      <c r="I206" s="107"/>
      <c r="J206" s="107"/>
      <c r="K206" s="107"/>
      <c r="L206" s="17"/>
    </row>
    <row r="207" spans="1:12">
      <c r="A207" s="17" t="s">
        <v>918</v>
      </c>
      <c r="B207" s="17" t="s">
        <v>916</v>
      </c>
      <c r="C207" s="17">
        <v>3</v>
      </c>
      <c r="D207" s="17">
        <v>0</v>
      </c>
      <c r="E207" s="17">
        <v>0</v>
      </c>
      <c r="F207" s="17">
        <v>0</v>
      </c>
      <c r="G207" s="17">
        <f t="shared" ref="G207" si="44">D207+E207-F207</f>
        <v>0</v>
      </c>
      <c r="H207" s="17"/>
      <c r="I207" s="17">
        <v>0</v>
      </c>
      <c r="J207" s="17">
        <v>0</v>
      </c>
      <c r="K207" s="17">
        <f t="shared" ref="K207" si="45">I207-J207-L207</f>
        <v>0</v>
      </c>
      <c r="L207" s="17"/>
    </row>
    <row r="208" spans="1:12">
      <c r="A208" s="17"/>
      <c r="B208" s="17" t="s">
        <v>917</v>
      </c>
      <c r="C208" s="17" t="s">
        <v>98</v>
      </c>
      <c r="D208" s="17"/>
      <c r="E208" s="17"/>
      <c r="F208" s="17"/>
      <c r="G208" s="17"/>
      <c r="H208" s="17"/>
      <c r="I208" s="17"/>
      <c r="J208" s="17"/>
      <c r="K208" s="17"/>
      <c r="L208" s="17"/>
    </row>
    <row r="209" spans="1:12">
      <c r="A209" s="107" t="s">
        <v>919</v>
      </c>
      <c r="B209" s="107" t="s">
        <v>256</v>
      </c>
      <c r="C209" s="107">
        <v>3</v>
      </c>
      <c r="D209" s="107">
        <v>5000</v>
      </c>
      <c r="E209" s="107">
        <v>0</v>
      </c>
      <c r="F209" s="107">
        <v>0</v>
      </c>
      <c r="G209" s="107">
        <f t="shared" ref="G209:G211" si="46">D209+E209-F209</f>
        <v>5000</v>
      </c>
      <c r="H209" s="107"/>
      <c r="I209" s="107">
        <v>0</v>
      </c>
      <c r="J209" s="107">
        <v>0</v>
      </c>
      <c r="K209" s="107">
        <f t="shared" ref="K209:K229" si="47">I209-J209-L209</f>
        <v>0</v>
      </c>
      <c r="L209" s="17"/>
    </row>
    <row r="210" spans="1:12">
      <c r="A210" s="17" t="s">
        <v>921</v>
      </c>
      <c r="B210" s="17" t="s">
        <v>922</v>
      </c>
      <c r="C210" s="17">
        <v>2</v>
      </c>
      <c r="D210" s="17">
        <v>0</v>
      </c>
      <c r="E210" s="17">
        <v>0</v>
      </c>
      <c r="F210" s="17">
        <v>0</v>
      </c>
      <c r="G210" s="17">
        <f t="shared" si="46"/>
        <v>0</v>
      </c>
      <c r="H210" s="17"/>
      <c r="I210" s="17">
        <v>0</v>
      </c>
      <c r="J210" s="17">
        <v>0</v>
      </c>
      <c r="K210" s="17">
        <f t="shared" si="47"/>
        <v>0</v>
      </c>
      <c r="L210" s="17"/>
    </row>
    <row r="211" spans="1:12">
      <c r="A211" s="107" t="s">
        <v>925</v>
      </c>
      <c r="B211" s="107" t="s">
        <v>923</v>
      </c>
      <c r="C211" s="107">
        <v>0</v>
      </c>
      <c r="D211" s="107">
        <v>0</v>
      </c>
      <c r="E211" s="107">
        <v>0</v>
      </c>
      <c r="F211" s="107">
        <v>0</v>
      </c>
      <c r="G211" s="107">
        <f t="shared" si="46"/>
        <v>0</v>
      </c>
      <c r="H211" s="107"/>
      <c r="I211" s="107">
        <v>4500</v>
      </c>
      <c r="J211" s="107">
        <v>0</v>
      </c>
      <c r="K211" s="107">
        <f t="shared" si="47"/>
        <v>4500</v>
      </c>
      <c r="L211" s="17"/>
    </row>
    <row r="212" spans="1:12">
      <c r="A212" s="107"/>
      <c r="B212" s="107" t="s">
        <v>924</v>
      </c>
      <c r="C212" s="107"/>
      <c r="D212" s="107"/>
      <c r="E212" s="107"/>
      <c r="F212" s="107"/>
      <c r="G212" s="107"/>
      <c r="H212" s="107"/>
      <c r="I212" s="107"/>
      <c r="J212" s="107"/>
      <c r="K212" s="107"/>
      <c r="L212" s="17"/>
    </row>
    <row r="213" spans="1:12">
      <c r="A213" s="17" t="s">
        <v>926</v>
      </c>
      <c r="B213" s="17" t="s">
        <v>1002</v>
      </c>
      <c r="C213" s="17">
        <v>2</v>
      </c>
      <c r="D213" s="17">
        <v>10000</v>
      </c>
      <c r="E213" s="17">
        <v>12000</v>
      </c>
      <c r="F213" s="17">
        <v>5000</v>
      </c>
      <c r="G213" s="17">
        <f t="shared" ref="G213:G229" si="48">D213+E213-F213</f>
        <v>17000</v>
      </c>
      <c r="H213" s="17"/>
      <c r="I213" s="17">
        <v>3600</v>
      </c>
      <c r="J213" s="17">
        <v>0</v>
      </c>
      <c r="K213" s="17">
        <f t="shared" si="47"/>
        <v>3600</v>
      </c>
      <c r="L213" s="17"/>
    </row>
    <row r="214" spans="1:12">
      <c r="A214" s="107" t="s">
        <v>929</v>
      </c>
      <c r="B214" s="107" t="s">
        <v>927</v>
      </c>
      <c r="C214" s="107">
        <v>2</v>
      </c>
      <c r="D214" s="107">
        <v>3000</v>
      </c>
      <c r="E214" s="107">
        <v>14000</v>
      </c>
      <c r="F214" s="107">
        <v>3000</v>
      </c>
      <c r="G214" s="107">
        <f t="shared" si="48"/>
        <v>14000</v>
      </c>
      <c r="H214" s="107"/>
      <c r="I214" s="107">
        <v>0</v>
      </c>
      <c r="J214" s="107">
        <v>0</v>
      </c>
      <c r="K214" s="107">
        <f t="shared" si="47"/>
        <v>0</v>
      </c>
      <c r="L214" s="17"/>
    </row>
    <row r="215" spans="1:12">
      <c r="A215" s="107"/>
      <c r="B215" s="107" t="s">
        <v>928</v>
      </c>
      <c r="C215" s="107">
        <v>1</v>
      </c>
      <c r="D215" s="107"/>
      <c r="E215" s="107"/>
      <c r="F215" s="107"/>
      <c r="G215" s="107"/>
      <c r="H215" s="107"/>
      <c r="I215" s="107">
        <v>0</v>
      </c>
      <c r="J215" s="107">
        <v>0</v>
      </c>
      <c r="K215" s="107">
        <f t="shared" si="47"/>
        <v>0</v>
      </c>
      <c r="L215" s="17"/>
    </row>
    <row r="216" spans="1:12">
      <c r="A216" s="17" t="s">
        <v>931</v>
      </c>
      <c r="B216" s="17" t="s">
        <v>930</v>
      </c>
      <c r="C216" s="17">
        <v>2</v>
      </c>
      <c r="D216" s="17">
        <v>7000</v>
      </c>
      <c r="E216" s="17">
        <v>7500</v>
      </c>
      <c r="F216" s="17">
        <v>9500</v>
      </c>
      <c r="G216" s="17">
        <f t="shared" si="48"/>
        <v>5000</v>
      </c>
      <c r="H216" s="17"/>
      <c r="I216" s="17">
        <v>3800</v>
      </c>
      <c r="J216" s="17">
        <v>3800</v>
      </c>
      <c r="K216" s="17">
        <f t="shared" si="47"/>
        <v>0</v>
      </c>
      <c r="L216" s="17"/>
    </row>
    <row r="217" spans="1:12">
      <c r="A217" s="107" t="s">
        <v>932</v>
      </c>
      <c r="B217" s="107" t="s">
        <v>1003</v>
      </c>
      <c r="C217" s="107">
        <v>2</v>
      </c>
      <c r="D217" s="107">
        <v>3600</v>
      </c>
      <c r="E217" s="107">
        <v>0</v>
      </c>
      <c r="F217" s="107">
        <v>0</v>
      </c>
      <c r="G217" s="107">
        <f t="shared" si="48"/>
        <v>3600</v>
      </c>
      <c r="H217" s="107"/>
      <c r="I217" s="107">
        <v>2400</v>
      </c>
      <c r="J217" s="107">
        <v>0</v>
      </c>
      <c r="K217" s="107">
        <f t="shared" si="47"/>
        <v>2400</v>
      </c>
      <c r="L217" s="17"/>
    </row>
    <row r="218" spans="1:12">
      <c r="A218" s="17" t="s">
        <v>933</v>
      </c>
      <c r="B218" s="17" t="s">
        <v>267</v>
      </c>
      <c r="C218" s="17">
        <v>2</v>
      </c>
      <c r="D218" s="17">
        <v>3000</v>
      </c>
      <c r="E218" s="17">
        <v>8000</v>
      </c>
      <c r="F218" s="17">
        <v>8000</v>
      </c>
      <c r="G218" s="17">
        <f t="shared" si="48"/>
        <v>3000</v>
      </c>
      <c r="H218" s="17"/>
      <c r="I218" s="17">
        <v>3000</v>
      </c>
      <c r="J218" s="17">
        <v>1500</v>
      </c>
      <c r="K218" s="17">
        <f t="shared" si="47"/>
        <v>1500</v>
      </c>
      <c r="L218" s="17"/>
    </row>
    <row r="219" spans="1:12">
      <c r="A219" s="107" t="s">
        <v>934</v>
      </c>
      <c r="B219" s="107" t="s">
        <v>268</v>
      </c>
      <c r="C219" s="107">
        <v>2</v>
      </c>
      <c r="D219" s="107">
        <v>3000</v>
      </c>
      <c r="E219" s="107">
        <v>6200</v>
      </c>
      <c r="F219" s="107">
        <v>3000</v>
      </c>
      <c r="G219" s="107">
        <f t="shared" si="48"/>
        <v>6200</v>
      </c>
      <c r="H219" s="107"/>
      <c r="I219" s="107">
        <v>4200</v>
      </c>
      <c r="J219" s="107">
        <v>1400</v>
      </c>
      <c r="K219" s="107">
        <f t="shared" si="47"/>
        <v>2800</v>
      </c>
      <c r="L219" s="17"/>
    </row>
    <row r="220" spans="1:12">
      <c r="A220" s="17" t="s">
        <v>935</v>
      </c>
      <c r="B220" s="17" t="s">
        <v>936</v>
      </c>
      <c r="C220" s="17">
        <v>2</v>
      </c>
      <c r="D220" s="17">
        <v>0</v>
      </c>
      <c r="E220" s="17">
        <v>0</v>
      </c>
      <c r="F220" s="17">
        <v>0</v>
      </c>
      <c r="G220" s="17">
        <f t="shared" si="48"/>
        <v>0</v>
      </c>
      <c r="H220" s="17"/>
      <c r="I220" s="17">
        <v>3000</v>
      </c>
      <c r="J220" s="17">
        <v>0</v>
      </c>
      <c r="K220" s="17">
        <f t="shared" si="47"/>
        <v>3000</v>
      </c>
      <c r="L220" s="17"/>
    </row>
    <row r="221" spans="1:12">
      <c r="A221" s="107" t="s">
        <v>938</v>
      </c>
      <c r="B221" s="107" t="s">
        <v>937</v>
      </c>
      <c r="C221" s="107">
        <v>2</v>
      </c>
      <c r="D221" s="107">
        <v>5000</v>
      </c>
      <c r="E221" s="107">
        <v>11000</v>
      </c>
      <c r="F221" s="107">
        <v>11000</v>
      </c>
      <c r="G221" s="107">
        <f t="shared" si="48"/>
        <v>5000</v>
      </c>
      <c r="H221" s="107" t="s">
        <v>939</v>
      </c>
      <c r="I221" s="107">
        <v>0</v>
      </c>
      <c r="J221" s="107">
        <v>0</v>
      </c>
      <c r="K221" s="107">
        <f t="shared" si="47"/>
        <v>0</v>
      </c>
      <c r="L221" s="17"/>
    </row>
    <row r="222" spans="1:12">
      <c r="A222" s="107"/>
      <c r="B222" s="107" t="s">
        <v>259</v>
      </c>
      <c r="C222" s="107" t="s">
        <v>102</v>
      </c>
      <c r="D222" s="107"/>
      <c r="E222" s="107"/>
      <c r="F222" s="107"/>
      <c r="G222" s="107"/>
      <c r="H222" s="107"/>
      <c r="I222" s="107">
        <v>0</v>
      </c>
      <c r="J222" s="107">
        <v>0</v>
      </c>
      <c r="K222" s="107">
        <f t="shared" si="47"/>
        <v>0</v>
      </c>
      <c r="L222" s="17"/>
    </row>
    <row r="223" spans="1:12">
      <c r="A223" s="17" t="s">
        <v>941</v>
      </c>
      <c r="B223" s="17" t="s">
        <v>940</v>
      </c>
      <c r="C223" s="17">
        <v>1</v>
      </c>
      <c r="D223" s="17">
        <v>3000</v>
      </c>
      <c r="E223" s="17">
        <v>10000</v>
      </c>
      <c r="F223" s="17">
        <v>3000</v>
      </c>
      <c r="G223" s="17">
        <f t="shared" si="48"/>
        <v>10000</v>
      </c>
      <c r="H223" s="33" t="s">
        <v>612</v>
      </c>
      <c r="I223" s="17">
        <v>3600</v>
      </c>
      <c r="J223" s="17">
        <v>0</v>
      </c>
      <c r="K223" s="17">
        <f t="shared" si="47"/>
        <v>3600</v>
      </c>
      <c r="L223" s="17"/>
    </row>
    <row r="224" spans="1:12">
      <c r="A224" s="107" t="s">
        <v>942</v>
      </c>
      <c r="B224" s="107" t="s">
        <v>173</v>
      </c>
      <c r="C224" s="107">
        <v>3</v>
      </c>
      <c r="D224" s="107">
        <v>15000</v>
      </c>
      <c r="E224" s="107">
        <v>0</v>
      </c>
      <c r="F224" s="107">
        <v>2000</v>
      </c>
      <c r="G224" s="107">
        <f t="shared" si="48"/>
        <v>13000</v>
      </c>
      <c r="H224" s="167" t="s">
        <v>1004</v>
      </c>
      <c r="I224" s="107">
        <v>0</v>
      </c>
      <c r="J224" s="107">
        <v>0</v>
      </c>
      <c r="K224" s="107">
        <f t="shared" si="47"/>
        <v>0</v>
      </c>
      <c r="L224" s="17"/>
    </row>
    <row r="225" spans="1:12">
      <c r="A225" s="107"/>
      <c r="B225" s="107" t="s">
        <v>240</v>
      </c>
      <c r="C225" s="107">
        <v>1</v>
      </c>
      <c r="D225" s="107"/>
      <c r="E225" s="107"/>
      <c r="F225" s="107"/>
      <c r="G225" s="107"/>
      <c r="H225" s="167" t="s">
        <v>612</v>
      </c>
      <c r="I225" s="107">
        <v>0</v>
      </c>
      <c r="J225" s="107">
        <v>0</v>
      </c>
      <c r="K225" s="107">
        <f t="shared" si="47"/>
        <v>0</v>
      </c>
      <c r="L225" s="17"/>
    </row>
    <row r="226" spans="1:12">
      <c r="A226" s="17" t="s">
        <v>943</v>
      </c>
      <c r="B226" s="17" t="s">
        <v>271</v>
      </c>
      <c r="C226" s="17">
        <v>1</v>
      </c>
      <c r="D226" s="17">
        <v>5000</v>
      </c>
      <c r="E226" s="17">
        <v>5000</v>
      </c>
      <c r="F226" s="17">
        <v>0</v>
      </c>
      <c r="G226" s="17">
        <f t="shared" si="48"/>
        <v>10000</v>
      </c>
      <c r="H226" s="17"/>
      <c r="I226" s="17">
        <v>3000</v>
      </c>
      <c r="J226" s="17">
        <v>0</v>
      </c>
      <c r="K226" s="17">
        <f t="shared" si="47"/>
        <v>3000</v>
      </c>
      <c r="L226" s="17"/>
    </row>
    <row r="227" spans="1:12">
      <c r="A227" s="107" t="s">
        <v>944</v>
      </c>
      <c r="B227" s="107" t="s">
        <v>272</v>
      </c>
      <c r="C227" s="107">
        <v>1</v>
      </c>
      <c r="D227" s="107">
        <v>4000</v>
      </c>
      <c r="E227" s="107">
        <v>0</v>
      </c>
      <c r="F227" s="107">
        <v>4000</v>
      </c>
      <c r="G227" s="107">
        <f t="shared" si="48"/>
        <v>0</v>
      </c>
      <c r="H227" s="167" t="s">
        <v>612</v>
      </c>
      <c r="I227" s="107">
        <v>0</v>
      </c>
      <c r="J227" s="107">
        <v>0</v>
      </c>
      <c r="K227" s="107">
        <f t="shared" si="47"/>
        <v>0</v>
      </c>
      <c r="L227" s="17"/>
    </row>
    <row r="228" spans="1:12">
      <c r="A228" s="17" t="s">
        <v>387</v>
      </c>
      <c r="B228" s="17" t="s">
        <v>945</v>
      </c>
      <c r="C228" s="17">
        <v>1</v>
      </c>
      <c r="D228" s="17">
        <v>0</v>
      </c>
      <c r="E228" s="17">
        <v>0</v>
      </c>
      <c r="F228" s="17">
        <v>0</v>
      </c>
      <c r="G228" s="17">
        <f t="shared" si="48"/>
        <v>0</v>
      </c>
      <c r="H228" s="17"/>
      <c r="I228" s="17">
        <v>0</v>
      </c>
      <c r="J228" s="17">
        <v>0</v>
      </c>
      <c r="K228" s="17">
        <f t="shared" si="47"/>
        <v>0</v>
      </c>
      <c r="L228" s="17"/>
    </row>
    <row r="229" spans="1:12">
      <c r="A229" s="107" t="s">
        <v>947</v>
      </c>
      <c r="B229" s="107" t="s">
        <v>35</v>
      </c>
      <c r="C229" s="107">
        <v>1</v>
      </c>
      <c r="D229" s="107">
        <v>15700</v>
      </c>
      <c r="E229" s="107">
        <v>25000</v>
      </c>
      <c r="F229" s="107">
        <v>15700</v>
      </c>
      <c r="G229" s="107">
        <f t="shared" si="48"/>
        <v>25000</v>
      </c>
      <c r="H229" s="107"/>
      <c r="I229" s="107">
        <v>9000</v>
      </c>
      <c r="J229" s="107">
        <v>0</v>
      </c>
      <c r="K229" s="107">
        <f t="shared" si="47"/>
        <v>9000</v>
      </c>
      <c r="L229" s="17"/>
    </row>
    <row r="230" spans="1:12">
      <c r="A230" s="107"/>
      <c r="B230" s="107" t="s">
        <v>276</v>
      </c>
      <c r="C230" s="107" t="s">
        <v>102</v>
      </c>
      <c r="D230" s="107"/>
      <c r="E230" s="107"/>
      <c r="F230" s="107"/>
      <c r="G230" s="107"/>
      <c r="H230" s="107"/>
      <c r="I230" s="107"/>
      <c r="J230" s="107"/>
      <c r="K230" s="107"/>
      <c r="L230" s="17"/>
    </row>
    <row r="231" spans="1:12">
      <c r="A231" s="107"/>
      <c r="B231" s="107" t="s">
        <v>946</v>
      </c>
      <c r="C231" s="107" t="s">
        <v>130</v>
      </c>
      <c r="D231" s="107"/>
      <c r="E231" s="107"/>
      <c r="F231" s="107"/>
      <c r="G231" s="107"/>
      <c r="H231" s="107"/>
      <c r="I231" s="107"/>
      <c r="J231" s="107"/>
      <c r="K231" s="107"/>
      <c r="L231" s="17"/>
    </row>
    <row r="232" spans="1:12">
      <c r="A232" s="17" t="s">
        <v>949</v>
      </c>
      <c r="B232" s="17" t="s">
        <v>948</v>
      </c>
      <c r="C232" s="17">
        <v>1</v>
      </c>
      <c r="D232" s="17">
        <v>0</v>
      </c>
      <c r="E232" s="17">
        <v>8000</v>
      </c>
      <c r="F232" s="17">
        <v>6000</v>
      </c>
      <c r="G232" s="17">
        <f t="shared" ref="G232:G259" si="49">D232+E232-F232</f>
        <v>2000</v>
      </c>
      <c r="H232" s="17"/>
      <c r="I232" s="17">
        <v>3000</v>
      </c>
      <c r="J232" s="17">
        <v>3000</v>
      </c>
      <c r="K232" s="17">
        <f t="shared" ref="K232:K259" si="50">I232-J232-L232</f>
        <v>0</v>
      </c>
      <c r="L232" s="17"/>
    </row>
    <row r="233" spans="1:12">
      <c r="A233" s="107" t="s">
        <v>951</v>
      </c>
      <c r="B233" s="107" t="s">
        <v>950</v>
      </c>
      <c r="C233" s="107">
        <v>1</v>
      </c>
      <c r="D233" s="107">
        <v>2600</v>
      </c>
      <c r="E233" s="107">
        <v>13000</v>
      </c>
      <c r="F233" s="107">
        <v>2600</v>
      </c>
      <c r="G233" s="107">
        <f t="shared" si="49"/>
        <v>13000</v>
      </c>
      <c r="H233" s="107"/>
      <c r="I233" s="107">
        <v>0</v>
      </c>
      <c r="J233" s="107">
        <v>0</v>
      </c>
      <c r="K233" s="107">
        <f t="shared" si="50"/>
        <v>0</v>
      </c>
      <c r="L233" s="17"/>
    </row>
    <row r="234" spans="1:12">
      <c r="A234" s="107"/>
      <c r="B234" s="107" t="s">
        <v>952</v>
      </c>
      <c r="C234" s="107" t="s">
        <v>130</v>
      </c>
      <c r="D234" s="107"/>
      <c r="E234" s="107"/>
      <c r="F234" s="107"/>
      <c r="G234" s="107"/>
      <c r="H234" s="107"/>
      <c r="I234" s="107">
        <v>0</v>
      </c>
      <c r="J234" s="107">
        <v>0</v>
      </c>
      <c r="K234" s="107">
        <f t="shared" si="50"/>
        <v>0</v>
      </c>
      <c r="L234" s="17"/>
    </row>
    <row r="235" spans="1:12">
      <c r="A235" s="17" t="s">
        <v>954</v>
      </c>
      <c r="B235" s="17" t="s">
        <v>953</v>
      </c>
      <c r="C235" s="17">
        <v>1</v>
      </c>
      <c r="D235" s="17">
        <v>0</v>
      </c>
      <c r="E235" s="17">
        <v>8900</v>
      </c>
      <c r="F235" s="17">
        <v>8900</v>
      </c>
      <c r="G235" s="17">
        <f t="shared" si="49"/>
        <v>0</v>
      </c>
      <c r="H235" s="17"/>
      <c r="I235" s="17">
        <v>3000</v>
      </c>
      <c r="J235" s="17">
        <v>3000</v>
      </c>
      <c r="K235" s="17">
        <f t="shared" si="50"/>
        <v>0</v>
      </c>
      <c r="L235" s="17"/>
    </row>
    <row r="236" spans="1:12">
      <c r="A236" s="107" t="s">
        <v>957</v>
      </c>
      <c r="B236" s="107" t="s">
        <v>955</v>
      </c>
      <c r="C236" s="107">
        <v>1</v>
      </c>
      <c r="D236" s="107">
        <v>0</v>
      </c>
      <c r="E236" s="107">
        <v>14000</v>
      </c>
      <c r="F236" s="107">
        <v>3500</v>
      </c>
      <c r="G236" s="107">
        <f t="shared" si="49"/>
        <v>10500</v>
      </c>
      <c r="H236" s="107"/>
      <c r="I236" s="107">
        <v>6000</v>
      </c>
      <c r="J236" s="107">
        <v>0</v>
      </c>
      <c r="K236" s="107">
        <f t="shared" si="50"/>
        <v>6000</v>
      </c>
      <c r="L236" s="17"/>
    </row>
    <row r="237" spans="1:12">
      <c r="A237" s="107"/>
      <c r="B237" s="107" t="s">
        <v>956</v>
      </c>
      <c r="C237" s="107" t="s">
        <v>102</v>
      </c>
      <c r="D237" s="107"/>
      <c r="E237" s="107"/>
      <c r="F237" s="107"/>
      <c r="G237" s="107"/>
      <c r="H237" s="107"/>
      <c r="I237" s="107"/>
      <c r="J237" s="107"/>
      <c r="K237" s="107"/>
      <c r="L237" s="17"/>
    </row>
    <row r="238" spans="1:12">
      <c r="A238" s="17" t="s">
        <v>1005</v>
      </c>
      <c r="B238" s="17" t="s">
        <v>958</v>
      </c>
      <c r="C238" s="17" t="s">
        <v>102</v>
      </c>
      <c r="D238" s="17">
        <v>0</v>
      </c>
      <c r="E238" s="17">
        <v>0</v>
      </c>
      <c r="F238" s="17">
        <v>0</v>
      </c>
      <c r="G238" s="17">
        <f t="shared" si="49"/>
        <v>0</v>
      </c>
      <c r="H238" s="17"/>
      <c r="I238" s="17">
        <v>3000</v>
      </c>
      <c r="J238" s="17">
        <v>3000</v>
      </c>
      <c r="K238" s="17">
        <f t="shared" si="50"/>
        <v>0</v>
      </c>
      <c r="L238" s="17"/>
    </row>
    <row r="239" spans="1:12">
      <c r="A239" s="107" t="s">
        <v>960</v>
      </c>
      <c r="B239" s="107" t="s">
        <v>959</v>
      </c>
      <c r="C239" s="107" t="s">
        <v>102</v>
      </c>
      <c r="D239" s="107">
        <v>0</v>
      </c>
      <c r="E239" s="107">
        <v>0</v>
      </c>
      <c r="F239" s="107">
        <v>0</v>
      </c>
      <c r="G239" s="107">
        <f t="shared" si="49"/>
        <v>0</v>
      </c>
      <c r="H239" s="107"/>
      <c r="I239" s="107">
        <v>2400</v>
      </c>
      <c r="J239" s="107">
        <v>0</v>
      </c>
      <c r="K239" s="107">
        <f t="shared" si="50"/>
        <v>2400</v>
      </c>
      <c r="L239" s="17"/>
    </row>
    <row r="240" spans="1:12">
      <c r="A240" s="17" t="s">
        <v>961</v>
      </c>
      <c r="B240" s="17" t="s">
        <v>298</v>
      </c>
      <c r="C240" s="17" t="s">
        <v>102</v>
      </c>
      <c r="D240" s="17">
        <v>2000</v>
      </c>
      <c r="E240" s="17">
        <v>6000</v>
      </c>
      <c r="F240" s="17">
        <v>3000</v>
      </c>
      <c r="G240" s="17">
        <f t="shared" si="49"/>
        <v>5000</v>
      </c>
      <c r="H240" s="17"/>
      <c r="I240" s="17">
        <v>0</v>
      </c>
      <c r="J240" s="17">
        <v>0</v>
      </c>
      <c r="K240" s="17">
        <f t="shared" si="50"/>
        <v>0</v>
      </c>
      <c r="L240" s="17"/>
    </row>
    <row r="241" spans="1:13">
      <c r="A241" s="107" t="s">
        <v>962</v>
      </c>
      <c r="B241" s="107" t="s">
        <v>283</v>
      </c>
      <c r="C241" s="107" t="s">
        <v>102</v>
      </c>
      <c r="D241" s="107">
        <v>5000</v>
      </c>
      <c r="E241" s="107">
        <v>9000</v>
      </c>
      <c r="F241" s="107">
        <v>5000</v>
      </c>
      <c r="G241" s="107">
        <f t="shared" si="49"/>
        <v>9000</v>
      </c>
      <c r="H241" s="107"/>
      <c r="I241" s="107">
        <v>0</v>
      </c>
      <c r="J241" s="107">
        <v>0</v>
      </c>
      <c r="K241" s="107">
        <f t="shared" si="50"/>
        <v>0</v>
      </c>
      <c r="L241" s="17"/>
    </row>
    <row r="242" spans="1:13">
      <c r="A242" s="17" t="s">
        <v>964</v>
      </c>
      <c r="B242" s="17" t="s">
        <v>963</v>
      </c>
      <c r="C242" s="17" t="s">
        <v>102</v>
      </c>
      <c r="D242" s="17">
        <v>0</v>
      </c>
      <c r="E242" s="17">
        <v>6493</v>
      </c>
      <c r="F242" s="17">
        <v>6493</v>
      </c>
      <c r="G242" s="17">
        <f t="shared" si="49"/>
        <v>0</v>
      </c>
      <c r="H242" s="17"/>
      <c r="I242" s="17">
        <v>0</v>
      </c>
      <c r="J242" s="17">
        <v>0</v>
      </c>
      <c r="K242" s="17">
        <f t="shared" si="50"/>
        <v>0</v>
      </c>
      <c r="L242" s="17"/>
    </row>
    <row r="243" spans="1:13">
      <c r="A243" s="107" t="s">
        <v>966</v>
      </c>
      <c r="B243" s="107" t="s">
        <v>967</v>
      </c>
      <c r="C243" s="107" t="s">
        <v>102</v>
      </c>
      <c r="D243" s="107">
        <v>0</v>
      </c>
      <c r="E243" s="107">
        <v>0</v>
      </c>
      <c r="F243" s="107">
        <v>0</v>
      </c>
      <c r="G243" s="107">
        <f t="shared" si="49"/>
        <v>0</v>
      </c>
      <c r="H243" s="107"/>
      <c r="I243" s="107">
        <v>3000</v>
      </c>
      <c r="J243" s="107">
        <v>3000</v>
      </c>
      <c r="K243" s="107">
        <f t="shared" si="50"/>
        <v>0</v>
      </c>
      <c r="L243" s="17"/>
    </row>
    <row r="244" spans="1:13">
      <c r="A244" s="107"/>
      <c r="B244" s="107" t="s">
        <v>965</v>
      </c>
      <c r="C244" s="107" t="s">
        <v>130</v>
      </c>
      <c r="D244" s="107"/>
      <c r="E244" s="107">
        <v>5000</v>
      </c>
      <c r="F244" s="107">
        <v>1000</v>
      </c>
      <c r="G244" s="107"/>
      <c r="H244" s="107"/>
      <c r="I244" s="107"/>
      <c r="J244" s="107"/>
      <c r="K244" s="107"/>
      <c r="L244" s="17"/>
    </row>
    <row r="245" spans="1:13">
      <c r="A245" s="17" t="s">
        <v>969</v>
      </c>
      <c r="B245" s="17" t="s">
        <v>968</v>
      </c>
      <c r="C245" s="17" t="s">
        <v>102</v>
      </c>
      <c r="D245" s="17">
        <v>7000</v>
      </c>
      <c r="E245" s="17">
        <v>10000</v>
      </c>
      <c r="F245" s="17">
        <v>0</v>
      </c>
      <c r="G245" s="17">
        <f t="shared" si="49"/>
        <v>17000</v>
      </c>
      <c r="H245" s="17"/>
      <c r="I245" s="17">
        <v>3000</v>
      </c>
      <c r="J245" s="17">
        <v>0</v>
      </c>
      <c r="K245" s="17">
        <f t="shared" si="50"/>
        <v>3000</v>
      </c>
      <c r="L245" s="17"/>
    </row>
    <row r="246" spans="1:13">
      <c r="A246" s="107" t="s">
        <v>353</v>
      </c>
      <c r="B246" s="107" t="s">
        <v>970</v>
      </c>
      <c r="C246" s="107" t="s">
        <v>102</v>
      </c>
      <c r="D246" s="107">
        <v>0</v>
      </c>
      <c r="E246" s="107">
        <v>5000</v>
      </c>
      <c r="F246" s="107">
        <v>0</v>
      </c>
      <c r="G246" s="107">
        <f t="shared" si="49"/>
        <v>5000</v>
      </c>
      <c r="H246" s="107"/>
      <c r="I246" s="107">
        <v>0</v>
      </c>
      <c r="J246" s="107">
        <v>0</v>
      </c>
      <c r="K246" s="107">
        <f t="shared" si="50"/>
        <v>0</v>
      </c>
      <c r="L246" s="17"/>
    </row>
    <row r="247" spans="1:13">
      <c r="A247" s="172" t="s">
        <v>972</v>
      </c>
      <c r="B247" s="172" t="s">
        <v>971</v>
      </c>
      <c r="C247" s="172" t="s">
        <v>102</v>
      </c>
      <c r="D247" s="172">
        <v>0</v>
      </c>
      <c r="E247" s="172">
        <v>1000</v>
      </c>
      <c r="F247" s="172">
        <v>0</v>
      </c>
      <c r="G247" s="172">
        <f t="shared" si="49"/>
        <v>1000</v>
      </c>
      <c r="H247" s="172"/>
      <c r="I247" s="172">
        <v>0</v>
      </c>
      <c r="J247" s="172">
        <v>0</v>
      </c>
      <c r="K247" s="172">
        <f t="shared" si="50"/>
        <v>0</v>
      </c>
      <c r="L247" s="172"/>
      <c r="M247" s="173" t="s">
        <v>998</v>
      </c>
    </row>
    <row r="248" spans="1:13">
      <c r="A248" s="107" t="s">
        <v>974</v>
      </c>
      <c r="B248" s="107" t="s">
        <v>973</v>
      </c>
      <c r="C248" s="107" t="s">
        <v>102</v>
      </c>
      <c r="D248" s="107">
        <v>5000</v>
      </c>
      <c r="E248" s="107">
        <v>7000</v>
      </c>
      <c r="F248" s="107">
        <v>0</v>
      </c>
      <c r="G248" s="107">
        <f t="shared" si="49"/>
        <v>12000</v>
      </c>
      <c r="H248" s="107"/>
      <c r="I248" s="107">
        <v>2000</v>
      </c>
      <c r="J248" s="107">
        <v>0</v>
      </c>
      <c r="K248" s="107">
        <f t="shared" si="50"/>
        <v>2000</v>
      </c>
      <c r="L248" s="17"/>
    </row>
    <row r="249" spans="1:13">
      <c r="A249" s="32" t="s">
        <v>183</v>
      </c>
      <c r="B249" s="32" t="s">
        <v>975</v>
      </c>
      <c r="C249" s="32" t="s">
        <v>102</v>
      </c>
      <c r="D249" s="32">
        <v>2000</v>
      </c>
      <c r="E249" s="32">
        <v>8000</v>
      </c>
      <c r="F249" s="32">
        <v>0</v>
      </c>
      <c r="G249" s="32">
        <f t="shared" si="49"/>
        <v>10000</v>
      </c>
      <c r="H249" s="17"/>
      <c r="I249" s="17">
        <v>4000</v>
      </c>
      <c r="J249" s="17">
        <v>0</v>
      </c>
      <c r="K249" s="17">
        <f t="shared" si="50"/>
        <v>4000</v>
      </c>
      <c r="L249" s="17"/>
    </row>
    <row r="250" spans="1:13">
      <c r="A250" s="107" t="s">
        <v>976</v>
      </c>
      <c r="B250" s="107" t="s">
        <v>979</v>
      </c>
      <c r="C250" s="107" t="s">
        <v>130</v>
      </c>
      <c r="D250" s="107">
        <v>2000</v>
      </c>
      <c r="E250" s="107">
        <v>8000</v>
      </c>
      <c r="F250" s="107">
        <v>7000</v>
      </c>
      <c r="G250" s="107">
        <f t="shared" si="49"/>
        <v>3000</v>
      </c>
      <c r="H250" s="107"/>
      <c r="I250" s="107">
        <v>0</v>
      </c>
      <c r="J250" s="107">
        <v>0</v>
      </c>
      <c r="K250" s="107">
        <f t="shared" si="50"/>
        <v>0</v>
      </c>
      <c r="L250" s="17"/>
    </row>
    <row r="251" spans="1:13">
      <c r="A251" s="17" t="s">
        <v>978</v>
      </c>
      <c r="B251" s="17" t="s">
        <v>977</v>
      </c>
      <c r="C251" s="17" t="s">
        <v>98</v>
      </c>
      <c r="D251" s="17">
        <v>0</v>
      </c>
      <c r="E251" s="17">
        <v>8000</v>
      </c>
      <c r="F251" s="17">
        <v>0</v>
      </c>
      <c r="G251" s="17">
        <f t="shared" si="49"/>
        <v>8000</v>
      </c>
      <c r="H251" s="17"/>
      <c r="I251" s="17">
        <v>0</v>
      </c>
      <c r="J251" s="17">
        <v>0</v>
      </c>
      <c r="K251" s="17">
        <f t="shared" si="50"/>
        <v>0</v>
      </c>
      <c r="L251" s="17"/>
    </row>
    <row r="252" spans="1:13">
      <c r="A252" s="107" t="s">
        <v>981</v>
      </c>
      <c r="B252" s="107" t="s">
        <v>980</v>
      </c>
      <c r="C252" s="107" t="s">
        <v>130</v>
      </c>
      <c r="D252" s="107">
        <v>4200</v>
      </c>
      <c r="E252" s="107">
        <v>10000</v>
      </c>
      <c r="F252" s="107">
        <v>4200</v>
      </c>
      <c r="G252" s="107">
        <f t="shared" si="49"/>
        <v>10000</v>
      </c>
      <c r="H252" s="107"/>
      <c r="I252" s="107">
        <v>6000</v>
      </c>
      <c r="J252" s="107">
        <v>0</v>
      </c>
      <c r="K252" s="107">
        <f t="shared" si="50"/>
        <v>6000</v>
      </c>
      <c r="L252" s="17"/>
      <c r="M252" s="173"/>
    </row>
    <row r="253" spans="1:13">
      <c r="A253" s="107"/>
      <c r="B253" s="107" t="s">
        <v>982</v>
      </c>
      <c r="C253" s="107" t="s">
        <v>130</v>
      </c>
      <c r="D253" s="107"/>
      <c r="E253" s="107"/>
      <c r="F253" s="107"/>
      <c r="G253" s="107"/>
      <c r="H253" s="107"/>
      <c r="I253" s="107"/>
      <c r="J253" s="107"/>
      <c r="K253" s="107"/>
      <c r="L253" s="17"/>
      <c r="M253" s="173"/>
    </row>
    <row r="254" spans="1:13">
      <c r="A254" s="17" t="s">
        <v>984</v>
      </c>
      <c r="B254" s="17" t="s">
        <v>983</v>
      </c>
      <c r="C254" s="17" t="s">
        <v>130</v>
      </c>
      <c r="D254" s="17">
        <v>0</v>
      </c>
      <c r="E254" s="17">
        <v>5000</v>
      </c>
      <c r="F254" s="17">
        <v>0</v>
      </c>
      <c r="G254" s="17">
        <f t="shared" si="49"/>
        <v>5000</v>
      </c>
      <c r="H254" s="17"/>
      <c r="I254" s="17">
        <v>3000</v>
      </c>
      <c r="J254" s="17">
        <v>0</v>
      </c>
      <c r="K254" s="17">
        <f t="shared" si="50"/>
        <v>3000</v>
      </c>
      <c r="L254" s="17"/>
    </row>
    <row r="255" spans="1:13">
      <c r="A255" s="107" t="s">
        <v>986</v>
      </c>
      <c r="B255" s="107" t="s">
        <v>985</v>
      </c>
      <c r="C255" s="107" t="s">
        <v>130</v>
      </c>
      <c r="D255" s="107">
        <v>2000</v>
      </c>
      <c r="E255" s="107">
        <v>5000</v>
      </c>
      <c r="F255" s="107">
        <v>2000</v>
      </c>
      <c r="G255" s="107">
        <f t="shared" si="49"/>
        <v>5000</v>
      </c>
      <c r="H255" s="107"/>
      <c r="I255" s="107">
        <v>2500</v>
      </c>
      <c r="J255" s="107">
        <v>2500</v>
      </c>
      <c r="K255" s="107">
        <f t="shared" si="50"/>
        <v>0</v>
      </c>
      <c r="L255" s="17"/>
    </row>
    <row r="256" spans="1:13">
      <c r="A256" s="17" t="s">
        <v>254</v>
      </c>
      <c r="B256" s="17" t="s">
        <v>987</v>
      </c>
      <c r="C256" s="17" t="s">
        <v>98</v>
      </c>
      <c r="D256" s="17">
        <v>0</v>
      </c>
      <c r="E256" s="17">
        <v>8000</v>
      </c>
      <c r="F256" s="17">
        <v>8000</v>
      </c>
      <c r="G256" s="17">
        <f t="shared" si="49"/>
        <v>0</v>
      </c>
      <c r="H256" s="17"/>
      <c r="I256" s="17">
        <v>1000</v>
      </c>
      <c r="J256" s="17">
        <v>1000</v>
      </c>
      <c r="K256" s="17">
        <f t="shared" si="50"/>
        <v>0</v>
      </c>
      <c r="L256" s="17"/>
    </row>
    <row r="257" spans="1:12">
      <c r="A257" s="17"/>
      <c r="B257" s="17" t="s">
        <v>988</v>
      </c>
      <c r="C257" s="17" t="s">
        <v>98</v>
      </c>
      <c r="D257" s="17"/>
      <c r="E257" s="17"/>
      <c r="F257" s="17"/>
      <c r="G257" s="17"/>
      <c r="H257" s="17"/>
      <c r="I257" s="17"/>
      <c r="J257" s="17"/>
      <c r="K257" s="17"/>
      <c r="L257" s="17"/>
    </row>
    <row r="258" spans="1:12">
      <c r="A258" s="107" t="s">
        <v>989</v>
      </c>
      <c r="B258" s="107" t="s">
        <v>971</v>
      </c>
      <c r="C258" s="107" t="s">
        <v>98</v>
      </c>
      <c r="D258" s="107">
        <v>0</v>
      </c>
      <c r="E258" s="107">
        <v>5000</v>
      </c>
      <c r="F258" s="107">
        <v>2000</v>
      </c>
      <c r="G258" s="107">
        <f t="shared" si="49"/>
        <v>3000</v>
      </c>
      <c r="H258" s="107"/>
      <c r="I258" s="107">
        <v>0</v>
      </c>
      <c r="J258" s="107">
        <v>0</v>
      </c>
      <c r="K258" s="107">
        <f t="shared" si="50"/>
        <v>0</v>
      </c>
      <c r="L258" s="17"/>
    </row>
    <row r="259" spans="1:12">
      <c r="A259" s="17" t="s">
        <v>1007</v>
      </c>
      <c r="B259" s="17" t="s">
        <v>290</v>
      </c>
      <c r="C259" s="17" t="s">
        <v>98</v>
      </c>
      <c r="D259" s="17">
        <v>0</v>
      </c>
      <c r="E259" s="17">
        <v>0</v>
      </c>
      <c r="F259" s="17">
        <v>0</v>
      </c>
      <c r="G259" s="17">
        <f t="shared" si="49"/>
        <v>0</v>
      </c>
      <c r="H259" s="17"/>
      <c r="I259" s="17">
        <v>5000</v>
      </c>
      <c r="J259" s="17">
        <v>2000</v>
      </c>
      <c r="K259" s="17">
        <f t="shared" si="50"/>
        <v>3000</v>
      </c>
    </row>
    <row r="260" spans="1:12">
      <c r="A260" s="17"/>
      <c r="B260" s="17" t="s">
        <v>1006</v>
      </c>
      <c r="C260" s="17" t="s">
        <v>98</v>
      </c>
      <c r="D260" s="17"/>
      <c r="E260" s="17"/>
      <c r="F260" s="17"/>
      <c r="G260" s="17"/>
      <c r="H260" s="17"/>
      <c r="I260" s="17"/>
      <c r="J260" s="17"/>
      <c r="K260" s="17"/>
    </row>
    <row r="261" spans="1:12">
      <c r="A261" s="107"/>
      <c r="B261" s="107"/>
      <c r="C261" s="107"/>
      <c r="D261" s="107"/>
      <c r="E261" s="107"/>
      <c r="F261" s="107"/>
      <c r="G261" s="107"/>
      <c r="H261" s="107"/>
      <c r="I261" s="107"/>
      <c r="J261" s="107"/>
      <c r="K261" s="107"/>
    </row>
    <row r="262" spans="1:1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</row>
    <row r="263" spans="1:1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</row>
    <row r="264" spans="1:1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</row>
    <row r="265" spans="1:1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</row>
    <row r="266" spans="1:1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</row>
    <row r="267" spans="1:1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</row>
    <row r="268" spans="1:1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</row>
    <row r="269" spans="1:1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</row>
    <row r="270" spans="1:1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</row>
    <row r="271" spans="1:1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</row>
    <row r="272" spans="1:1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</row>
    <row r="273" spans="1:11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</row>
    <row r="274" spans="1:11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</row>
    <row r="275" spans="1:11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</row>
    <row r="276" spans="1:11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</row>
    <row r="277" spans="1:11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</row>
    <row r="278" spans="1:11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</row>
    <row r="279" spans="1:11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</row>
    <row r="280" spans="1:11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</row>
    <row r="281" spans="1:11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</row>
    <row r="282" spans="1:11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</row>
    <row r="283" spans="1:11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</row>
    <row r="284" spans="1:11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</row>
    <row r="285" spans="1:11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</row>
    <row r="286" spans="1:11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</row>
    <row r="287" spans="1:11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</row>
    <row r="288" spans="1:11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</row>
    <row r="289" spans="1:11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</row>
    <row r="290" spans="1:11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</row>
    <row r="291" spans="1:11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</row>
    <row r="292" spans="1:11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</row>
    <row r="293" spans="1:11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</row>
    <row r="294" spans="1:11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</row>
    <row r="295" spans="1:11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</row>
    <row r="296" spans="1:11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</row>
    <row r="297" spans="1:11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</row>
    <row r="298" spans="1:11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</row>
    <row r="299" spans="1:11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</row>
  </sheetData>
  <mergeCells count="2">
    <mergeCell ref="A1:H1"/>
    <mergeCell ref="I1:K1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S246"/>
  <sheetViews>
    <sheetView workbookViewId="0">
      <pane ySplit="1" topLeftCell="A2" activePane="bottomLeft" state="frozen"/>
      <selection pane="bottomLeft" activeCell="C81" sqref="C81"/>
    </sheetView>
  </sheetViews>
  <sheetFormatPr defaultColWidth="8.7109375" defaultRowHeight="12"/>
  <cols>
    <col min="1" max="1" width="3.28515625" style="96" bestFit="1" customWidth="1"/>
    <col min="2" max="2" width="9.28515625" style="96" customWidth="1"/>
    <col min="3" max="3" width="11" style="96" customWidth="1"/>
    <col min="4" max="4" width="3.85546875" style="96" bestFit="1" customWidth="1"/>
    <col min="5" max="5" width="3.28515625" style="96" bestFit="1" customWidth="1"/>
    <col min="6" max="6" width="3.42578125" style="96" bestFit="1" customWidth="1"/>
    <col min="7" max="7" width="9.42578125" style="96" bestFit="1" customWidth="1"/>
    <col min="8" max="8" width="6.28515625" style="96" bestFit="1" customWidth="1"/>
    <col min="9" max="9" width="7.28515625" style="96" customWidth="1"/>
    <col min="10" max="10" width="8.140625" style="96" customWidth="1"/>
    <col min="11" max="11" width="6.28515625" style="96" bestFit="1" customWidth="1"/>
    <col min="12" max="12" width="6.5703125" style="96" bestFit="1" customWidth="1"/>
    <col min="13" max="13" width="7.5703125" style="96" bestFit="1" customWidth="1"/>
    <col min="14" max="14" width="7.85546875" style="96" customWidth="1"/>
    <col min="15" max="15" width="7.28515625" style="96" bestFit="1" customWidth="1"/>
    <col min="16" max="16" width="35.28515625" style="96" customWidth="1"/>
    <col min="17" max="16384" width="8.7109375" style="96"/>
  </cols>
  <sheetData>
    <row r="1" spans="1:19" ht="47.1" customHeight="1">
      <c r="A1" s="86" t="s">
        <v>458</v>
      </c>
      <c r="B1" s="86" t="s">
        <v>61</v>
      </c>
      <c r="C1" s="86" t="s">
        <v>423</v>
      </c>
      <c r="D1" s="86" t="s">
        <v>420</v>
      </c>
      <c r="E1" s="86" t="s">
        <v>421</v>
      </c>
      <c r="F1" s="86" t="s">
        <v>74</v>
      </c>
      <c r="G1" s="86" t="s">
        <v>62</v>
      </c>
      <c r="H1" s="86" t="s">
        <v>498</v>
      </c>
      <c r="I1" s="86" t="s">
        <v>499</v>
      </c>
      <c r="J1" s="86" t="s">
        <v>470</v>
      </c>
      <c r="K1" s="86" t="s">
        <v>422</v>
      </c>
      <c r="L1" s="86" t="s">
        <v>500</v>
      </c>
      <c r="M1" s="86" t="s">
        <v>501</v>
      </c>
      <c r="N1" s="97" t="s">
        <v>299</v>
      </c>
      <c r="O1" s="98" t="s">
        <v>457</v>
      </c>
      <c r="R1" s="96" t="s">
        <v>514</v>
      </c>
      <c r="S1" s="96">
        <v>37500</v>
      </c>
    </row>
    <row r="2" spans="1:19">
      <c r="A2" s="87"/>
      <c r="B2" s="87"/>
      <c r="C2" s="87"/>
      <c r="D2" s="87"/>
      <c r="E2" s="87"/>
      <c r="F2" s="87"/>
      <c r="G2" s="87"/>
      <c r="H2" s="87"/>
      <c r="I2" s="87">
        <f>SUM(I3:I301)</f>
        <v>3109800</v>
      </c>
      <c r="J2" s="87">
        <f>SUM(J3:J301)</f>
        <v>750300</v>
      </c>
      <c r="K2" s="87">
        <f>SUM(K3:K245)</f>
        <v>532400</v>
      </c>
      <c r="L2" s="87">
        <f>SUM(L3:L245)</f>
        <v>0</v>
      </c>
      <c r="M2" s="87">
        <f>SUM(M3:M245)</f>
        <v>165300</v>
      </c>
      <c r="N2" s="98">
        <f>K2+L2</f>
        <v>532400</v>
      </c>
      <c r="O2" s="98">
        <f>K2+L2-M2</f>
        <v>367100</v>
      </c>
      <c r="R2" s="96" t="s">
        <v>502</v>
      </c>
      <c r="S2" s="96">
        <v>28000</v>
      </c>
    </row>
    <row r="3" spans="1:19" ht="24">
      <c r="A3" s="88">
        <v>1</v>
      </c>
      <c r="B3" s="91" t="s">
        <v>63</v>
      </c>
      <c r="C3" s="88"/>
      <c r="D3" s="88">
        <v>11</v>
      </c>
      <c r="E3" s="88">
        <v>1</v>
      </c>
      <c r="F3" s="88" t="s">
        <v>75</v>
      </c>
      <c r="G3" s="88"/>
      <c r="H3" s="88">
        <v>25000</v>
      </c>
      <c r="I3" s="88">
        <v>37500</v>
      </c>
      <c r="J3" s="88">
        <v>3000</v>
      </c>
      <c r="K3" s="88">
        <v>0</v>
      </c>
      <c r="L3" s="88"/>
      <c r="M3" s="88"/>
      <c r="N3" s="88"/>
      <c r="O3" s="88">
        <f>K3+L3-M3</f>
        <v>0</v>
      </c>
      <c r="R3" s="96" t="s">
        <v>503</v>
      </c>
      <c r="S3" s="96">
        <v>25000</v>
      </c>
    </row>
    <row r="4" spans="1:19" ht="24">
      <c r="A4" s="88">
        <v>2</v>
      </c>
      <c r="B4" s="88" t="s">
        <v>64</v>
      </c>
      <c r="C4" s="88"/>
      <c r="D4" s="88">
        <v>9</v>
      </c>
      <c r="E4" s="88">
        <v>1</v>
      </c>
      <c r="F4" s="88" t="s">
        <v>75</v>
      </c>
      <c r="G4" s="88"/>
      <c r="H4" s="88"/>
      <c r="I4" s="88">
        <v>25000</v>
      </c>
      <c r="J4" s="88">
        <v>3000</v>
      </c>
      <c r="K4" s="88">
        <v>0</v>
      </c>
      <c r="L4" s="88"/>
      <c r="M4" s="88"/>
      <c r="N4" s="88"/>
      <c r="O4" s="88"/>
      <c r="R4" s="96" t="s">
        <v>504</v>
      </c>
      <c r="S4" s="96">
        <v>18700</v>
      </c>
    </row>
    <row r="5" spans="1:19" ht="24">
      <c r="A5" s="89">
        <v>3</v>
      </c>
      <c r="B5" s="91" t="s">
        <v>65</v>
      </c>
      <c r="C5" s="89"/>
      <c r="D5" s="89">
        <v>11</v>
      </c>
      <c r="E5" s="89">
        <v>2</v>
      </c>
      <c r="F5" s="89" t="s">
        <v>75</v>
      </c>
      <c r="G5" s="89">
        <v>9929971015</v>
      </c>
      <c r="H5" s="89">
        <v>45000</v>
      </c>
      <c r="I5" s="89">
        <v>37500</v>
      </c>
      <c r="J5" s="89">
        <v>4200</v>
      </c>
      <c r="K5" s="126">
        <v>28000</v>
      </c>
      <c r="L5" s="89"/>
      <c r="M5" s="89">
        <v>5000</v>
      </c>
      <c r="N5" s="89"/>
      <c r="O5" s="89">
        <f>K5+L5-M5</f>
        <v>23000</v>
      </c>
      <c r="P5" s="96" t="s">
        <v>584</v>
      </c>
      <c r="R5" s="96" t="s">
        <v>505</v>
      </c>
      <c r="S5" s="96">
        <v>15900</v>
      </c>
    </row>
    <row r="6" spans="1:19" ht="24">
      <c r="A6" s="89">
        <v>4</v>
      </c>
      <c r="B6" s="89" t="s">
        <v>66</v>
      </c>
      <c r="C6" s="89"/>
      <c r="D6" s="89">
        <v>6</v>
      </c>
      <c r="E6" s="89">
        <v>2</v>
      </c>
      <c r="F6" s="89" t="s">
        <v>75</v>
      </c>
      <c r="G6" s="89"/>
      <c r="H6" s="89"/>
      <c r="I6" s="89">
        <v>14700</v>
      </c>
      <c r="J6" s="89">
        <v>4200</v>
      </c>
      <c r="K6" s="89"/>
      <c r="L6" s="89"/>
      <c r="M6" s="89"/>
      <c r="N6" s="89"/>
      <c r="O6" s="89"/>
      <c r="R6" s="96" t="s">
        <v>506</v>
      </c>
      <c r="S6" s="96">
        <v>14700</v>
      </c>
    </row>
    <row r="7" spans="1:19" ht="24">
      <c r="A7" s="90">
        <v>5</v>
      </c>
      <c r="B7" s="91" t="s">
        <v>67</v>
      </c>
      <c r="C7" s="90"/>
      <c r="D7" s="90">
        <v>11</v>
      </c>
      <c r="E7" s="90">
        <v>3</v>
      </c>
      <c r="F7" s="90" t="s">
        <v>75</v>
      </c>
      <c r="G7" s="90">
        <v>9982449656</v>
      </c>
      <c r="H7" s="90">
        <v>25000</v>
      </c>
      <c r="I7" s="90">
        <v>37500</v>
      </c>
      <c r="J7" s="90">
        <v>2800</v>
      </c>
      <c r="K7" s="127">
        <v>10000</v>
      </c>
      <c r="L7" s="90"/>
      <c r="M7" s="90">
        <v>10000</v>
      </c>
      <c r="N7" s="90"/>
      <c r="O7" s="90">
        <f>K7+L7-M7</f>
        <v>0</v>
      </c>
      <c r="P7" s="96" t="s">
        <v>585</v>
      </c>
      <c r="R7" s="96" t="s">
        <v>507</v>
      </c>
      <c r="S7" s="96">
        <v>14200</v>
      </c>
    </row>
    <row r="8" spans="1:19" ht="24">
      <c r="A8" s="90">
        <v>6</v>
      </c>
      <c r="B8" s="90" t="s">
        <v>68</v>
      </c>
      <c r="C8" s="90"/>
      <c r="D8" s="90">
        <v>6</v>
      </c>
      <c r="E8" s="90">
        <v>3</v>
      </c>
      <c r="F8" s="90" t="s">
        <v>75</v>
      </c>
      <c r="G8" s="90"/>
      <c r="H8" s="90"/>
      <c r="I8" s="90">
        <v>14700</v>
      </c>
      <c r="J8" s="90">
        <v>2800</v>
      </c>
      <c r="K8" s="90">
        <v>0</v>
      </c>
      <c r="L8" s="90"/>
      <c r="M8" s="90"/>
      <c r="N8" s="90"/>
      <c r="O8" s="90"/>
      <c r="R8" s="96" t="s">
        <v>508</v>
      </c>
      <c r="S8" s="96">
        <v>13900</v>
      </c>
    </row>
    <row r="9" spans="1:19" ht="24">
      <c r="A9" s="89">
        <v>7</v>
      </c>
      <c r="B9" s="91" t="s">
        <v>69</v>
      </c>
      <c r="C9" s="89"/>
      <c r="D9" s="89">
        <v>11</v>
      </c>
      <c r="E9" s="89">
        <v>4</v>
      </c>
      <c r="F9" s="89" t="s">
        <v>75</v>
      </c>
      <c r="G9" s="89">
        <v>9982539105</v>
      </c>
      <c r="H9" s="89">
        <v>25000</v>
      </c>
      <c r="I9" s="89">
        <v>37500</v>
      </c>
      <c r="J9" s="89">
        <v>2800</v>
      </c>
      <c r="K9" s="126">
        <v>12000</v>
      </c>
      <c r="L9" s="89"/>
      <c r="M9" s="89">
        <v>6000</v>
      </c>
      <c r="N9" s="89"/>
      <c r="O9" s="89">
        <f>K9+L9-M9</f>
        <v>6000</v>
      </c>
      <c r="P9" s="124" t="s">
        <v>586</v>
      </c>
      <c r="R9" s="96" t="s">
        <v>509</v>
      </c>
      <c r="S9" s="96">
        <v>13300</v>
      </c>
    </row>
    <row r="10" spans="1:19" ht="24">
      <c r="A10" s="121">
        <v>8</v>
      </c>
      <c r="B10" s="121" t="s">
        <v>70</v>
      </c>
      <c r="C10" s="121"/>
      <c r="D10" s="121">
        <v>10</v>
      </c>
      <c r="E10" s="121">
        <v>5</v>
      </c>
      <c r="F10" s="121" t="s">
        <v>75</v>
      </c>
      <c r="G10" s="121">
        <v>9772800949</v>
      </c>
      <c r="H10" s="121">
        <v>32000</v>
      </c>
      <c r="I10" s="121">
        <v>28000</v>
      </c>
      <c r="J10" s="121">
        <v>2200</v>
      </c>
      <c r="K10" s="121">
        <v>0</v>
      </c>
      <c r="L10" s="121"/>
      <c r="M10" s="121">
        <v>10000</v>
      </c>
      <c r="N10" s="121"/>
      <c r="O10" s="121">
        <f>K10+L10-M10</f>
        <v>-10000</v>
      </c>
      <c r="P10" s="96" t="s">
        <v>587</v>
      </c>
      <c r="R10" s="96" t="s">
        <v>510</v>
      </c>
      <c r="S10" s="96">
        <v>12000</v>
      </c>
    </row>
    <row r="11" spans="1:19" ht="24">
      <c r="A11" s="121">
        <v>9</v>
      </c>
      <c r="B11" s="121" t="s">
        <v>71</v>
      </c>
      <c r="C11" s="121"/>
      <c r="D11" s="121">
        <v>10</v>
      </c>
      <c r="E11" s="121">
        <v>5</v>
      </c>
      <c r="F11" s="121" t="s">
        <v>75</v>
      </c>
      <c r="G11" s="121"/>
      <c r="H11" s="121"/>
      <c r="I11" s="121">
        <v>28000</v>
      </c>
      <c r="J11" s="121">
        <v>2200</v>
      </c>
      <c r="K11" s="121"/>
      <c r="L11" s="121"/>
      <c r="M11" s="121"/>
      <c r="N11" s="121"/>
      <c r="O11" s="121"/>
      <c r="R11" s="96" t="s">
        <v>511</v>
      </c>
      <c r="S11" s="96">
        <v>11500</v>
      </c>
    </row>
    <row r="12" spans="1:19" ht="24">
      <c r="A12" s="89">
        <v>10</v>
      </c>
      <c r="B12" s="89" t="s">
        <v>72</v>
      </c>
      <c r="C12" s="89" t="s">
        <v>411</v>
      </c>
      <c r="D12" s="89">
        <v>10</v>
      </c>
      <c r="E12" s="89">
        <v>6</v>
      </c>
      <c r="F12" s="89" t="s">
        <v>75</v>
      </c>
      <c r="G12" s="89">
        <v>8003030009</v>
      </c>
      <c r="H12" s="89">
        <v>25000</v>
      </c>
      <c r="I12" s="89">
        <v>28000</v>
      </c>
      <c r="J12" s="89">
        <v>2700</v>
      </c>
      <c r="K12" s="89">
        <v>9000</v>
      </c>
      <c r="L12" s="89"/>
      <c r="M12" s="89">
        <v>11000</v>
      </c>
      <c r="N12" s="89"/>
      <c r="O12" s="89">
        <f>K12+L12-M12</f>
        <v>-2000</v>
      </c>
      <c r="P12" s="96" t="s">
        <v>588</v>
      </c>
      <c r="R12" s="96" t="s">
        <v>512</v>
      </c>
      <c r="S12" s="96">
        <v>9800</v>
      </c>
    </row>
    <row r="13" spans="1:19" ht="24">
      <c r="A13" s="89">
        <v>11</v>
      </c>
      <c r="B13" s="89" t="s">
        <v>73</v>
      </c>
      <c r="C13" s="89"/>
      <c r="D13" s="89">
        <v>7</v>
      </c>
      <c r="E13" s="89">
        <v>6</v>
      </c>
      <c r="F13" s="89" t="s">
        <v>76</v>
      </c>
      <c r="G13" s="89"/>
      <c r="H13" s="89"/>
      <c r="I13" s="89">
        <v>0</v>
      </c>
      <c r="J13" s="89">
        <v>2700</v>
      </c>
      <c r="K13" s="89">
        <v>0</v>
      </c>
      <c r="L13" s="89"/>
      <c r="M13" s="89"/>
      <c r="N13" s="89"/>
      <c r="O13" s="89"/>
      <c r="Q13" s="99"/>
      <c r="R13" s="96" t="s">
        <v>513</v>
      </c>
      <c r="S13" s="96">
        <v>9300</v>
      </c>
    </row>
    <row r="14" spans="1:19" ht="24">
      <c r="A14" s="121">
        <v>12</v>
      </c>
      <c r="B14" s="121" t="s">
        <v>77</v>
      </c>
      <c r="C14" s="121" t="s">
        <v>412</v>
      </c>
      <c r="D14" s="121">
        <v>10</v>
      </c>
      <c r="E14" s="121">
        <v>7</v>
      </c>
      <c r="F14" s="121" t="s">
        <v>75</v>
      </c>
      <c r="G14" s="121">
        <v>9587882014</v>
      </c>
      <c r="H14" s="121">
        <v>20000</v>
      </c>
      <c r="I14" s="121">
        <v>28000</v>
      </c>
      <c r="J14" s="121">
        <v>2500</v>
      </c>
      <c r="K14" s="121">
        <v>0</v>
      </c>
      <c r="L14" s="121"/>
      <c r="M14" s="121"/>
      <c r="N14" s="121"/>
      <c r="O14" s="121">
        <f>K14+L14-M14</f>
        <v>0</v>
      </c>
      <c r="Q14" s="99"/>
      <c r="R14" s="96" t="s">
        <v>98</v>
      </c>
      <c r="S14" s="96">
        <v>8500</v>
      </c>
    </row>
    <row r="15" spans="1:19" ht="24">
      <c r="A15" s="121">
        <v>13</v>
      </c>
      <c r="B15" s="121" t="s">
        <v>78</v>
      </c>
      <c r="C15" s="121"/>
      <c r="D15" s="121">
        <v>9</v>
      </c>
      <c r="E15" s="121">
        <v>7</v>
      </c>
      <c r="F15" s="121" t="s">
        <v>75</v>
      </c>
      <c r="G15" s="121"/>
      <c r="H15" s="121"/>
      <c r="I15" s="121">
        <v>25000</v>
      </c>
      <c r="J15" s="121">
        <v>2500</v>
      </c>
      <c r="K15" s="121"/>
      <c r="L15" s="121"/>
      <c r="M15" s="121"/>
      <c r="N15" s="121"/>
      <c r="O15" s="121"/>
      <c r="Q15" s="99"/>
    </row>
    <row r="16" spans="1:19" ht="24">
      <c r="A16" s="89">
        <v>14</v>
      </c>
      <c r="B16" s="89" t="s">
        <v>79</v>
      </c>
      <c r="C16" s="89" t="s">
        <v>414</v>
      </c>
      <c r="D16" s="89">
        <v>10</v>
      </c>
      <c r="E16" s="89">
        <v>8</v>
      </c>
      <c r="F16" s="89" t="s">
        <v>75</v>
      </c>
      <c r="G16" s="89">
        <v>9783279223</v>
      </c>
      <c r="H16" s="89">
        <v>55000</v>
      </c>
      <c r="I16" s="89">
        <v>28000</v>
      </c>
      <c r="J16" s="89">
        <v>3000</v>
      </c>
      <c r="K16" s="89">
        <v>0</v>
      </c>
      <c r="L16" s="89"/>
      <c r="M16" s="89"/>
      <c r="N16" s="89"/>
      <c r="O16" s="89">
        <f>K16+L16-M16</f>
        <v>0</v>
      </c>
      <c r="Q16" s="99"/>
    </row>
    <row r="17" spans="1:17" ht="24">
      <c r="A17" s="89">
        <v>15</v>
      </c>
      <c r="B17" s="89" t="s">
        <v>81</v>
      </c>
      <c r="C17" s="89"/>
      <c r="D17" s="89">
        <v>9</v>
      </c>
      <c r="E17" s="89">
        <v>8</v>
      </c>
      <c r="F17" s="89" t="s">
        <v>75</v>
      </c>
      <c r="G17" s="89"/>
      <c r="H17" s="89"/>
      <c r="I17" s="89">
        <v>25000</v>
      </c>
      <c r="J17" s="89">
        <v>3000</v>
      </c>
      <c r="K17" s="89">
        <v>0</v>
      </c>
      <c r="L17" s="89"/>
      <c r="M17" s="89"/>
      <c r="N17" s="89"/>
      <c r="O17" s="89"/>
      <c r="Q17" s="99"/>
    </row>
    <row r="18" spans="1:17" ht="24">
      <c r="A18" s="89">
        <v>16</v>
      </c>
      <c r="B18" s="89" t="s">
        <v>82</v>
      </c>
      <c r="C18" s="89"/>
      <c r="D18" s="89">
        <v>9</v>
      </c>
      <c r="E18" s="89">
        <v>8</v>
      </c>
      <c r="F18" s="89" t="s">
        <v>75</v>
      </c>
      <c r="G18" s="89"/>
      <c r="H18" s="89"/>
      <c r="I18" s="89">
        <v>25000</v>
      </c>
      <c r="J18" s="89">
        <v>3000</v>
      </c>
      <c r="K18" s="89">
        <v>0</v>
      </c>
      <c r="L18" s="89"/>
      <c r="M18" s="89"/>
      <c r="N18" s="89"/>
      <c r="O18" s="89"/>
      <c r="Q18" s="99"/>
    </row>
    <row r="19" spans="1:17" ht="24">
      <c r="A19" s="89">
        <v>17</v>
      </c>
      <c r="B19" s="89" t="s">
        <v>80</v>
      </c>
      <c r="C19" s="89"/>
      <c r="D19" s="89">
        <v>6</v>
      </c>
      <c r="E19" s="89">
        <v>8</v>
      </c>
      <c r="F19" s="89" t="s">
        <v>75</v>
      </c>
      <c r="G19" s="89"/>
      <c r="H19" s="89"/>
      <c r="I19" s="89">
        <v>14700</v>
      </c>
      <c r="J19" s="89">
        <v>3000</v>
      </c>
      <c r="K19" s="89">
        <v>0</v>
      </c>
      <c r="L19" s="89"/>
      <c r="M19" s="89"/>
      <c r="N19" s="89"/>
      <c r="O19" s="89"/>
      <c r="Q19" s="99"/>
    </row>
    <row r="20" spans="1:17" ht="24">
      <c r="A20" s="90">
        <v>18</v>
      </c>
      <c r="B20" s="90" t="s">
        <v>83</v>
      </c>
      <c r="C20" s="90" t="s">
        <v>413</v>
      </c>
      <c r="D20" s="90">
        <v>10</v>
      </c>
      <c r="E20" s="90">
        <v>9</v>
      </c>
      <c r="F20" s="90" t="s">
        <v>75</v>
      </c>
      <c r="G20" s="90">
        <v>8890497030</v>
      </c>
      <c r="H20" s="90">
        <v>18000</v>
      </c>
      <c r="I20" s="90">
        <v>28000</v>
      </c>
      <c r="J20" s="90">
        <v>5000</v>
      </c>
      <c r="K20" s="90">
        <v>5000</v>
      </c>
      <c r="L20" s="90"/>
      <c r="M20" s="90">
        <v>5000</v>
      </c>
      <c r="N20" s="90"/>
      <c r="O20" s="90">
        <f>K20+L20-M20</f>
        <v>0</v>
      </c>
      <c r="P20" s="96" t="s">
        <v>589</v>
      </c>
    </row>
    <row r="21" spans="1:17" ht="24">
      <c r="A21" s="121">
        <v>19</v>
      </c>
      <c r="B21" s="121" t="s">
        <v>84</v>
      </c>
      <c r="C21" s="121" t="s">
        <v>300</v>
      </c>
      <c r="D21" s="121">
        <v>9</v>
      </c>
      <c r="E21" s="121">
        <v>10</v>
      </c>
      <c r="F21" s="121" t="s">
        <v>75</v>
      </c>
      <c r="G21" s="121">
        <v>9983047221</v>
      </c>
      <c r="H21" s="121">
        <v>25000</v>
      </c>
      <c r="I21" s="121">
        <v>25000</v>
      </c>
      <c r="J21" s="121">
        <v>5000</v>
      </c>
      <c r="K21" s="121">
        <v>0</v>
      </c>
      <c r="L21" s="121"/>
      <c r="M21" s="121"/>
      <c r="N21" s="121"/>
      <c r="O21" s="121">
        <f>K21+L21-M21</f>
        <v>0</v>
      </c>
    </row>
    <row r="22" spans="1:17" ht="24">
      <c r="A22" s="121">
        <v>20</v>
      </c>
      <c r="B22" s="121" t="s">
        <v>85</v>
      </c>
      <c r="C22" s="121"/>
      <c r="D22" s="121">
        <v>8</v>
      </c>
      <c r="E22" s="121">
        <v>10</v>
      </c>
      <c r="F22" s="121" t="s">
        <v>75</v>
      </c>
      <c r="G22" s="121"/>
      <c r="H22" s="121"/>
      <c r="I22" s="121">
        <v>18700</v>
      </c>
      <c r="J22" s="121">
        <v>5000</v>
      </c>
      <c r="K22" s="121">
        <v>0</v>
      </c>
      <c r="L22" s="121"/>
      <c r="M22" s="121"/>
      <c r="N22" s="121"/>
      <c r="O22" s="121"/>
    </row>
    <row r="23" spans="1:17" ht="24">
      <c r="A23" s="90">
        <v>21</v>
      </c>
      <c r="B23" s="90" t="s">
        <v>86</v>
      </c>
      <c r="C23" s="90"/>
      <c r="D23" s="90">
        <v>9</v>
      </c>
      <c r="E23" s="90">
        <v>11</v>
      </c>
      <c r="F23" s="90" t="s">
        <v>75</v>
      </c>
      <c r="G23" s="90"/>
      <c r="H23" s="90">
        <v>11000</v>
      </c>
      <c r="I23" s="90">
        <v>25000</v>
      </c>
      <c r="J23" s="90">
        <v>0</v>
      </c>
      <c r="K23" s="90">
        <v>0</v>
      </c>
      <c r="L23" s="90"/>
      <c r="M23" s="90"/>
      <c r="N23" s="90"/>
      <c r="O23" s="90">
        <f>K23+L23-M23</f>
        <v>0</v>
      </c>
    </row>
    <row r="24" spans="1:17" ht="24">
      <c r="A24" s="121">
        <v>22</v>
      </c>
      <c r="B24" s="121" t="s">
        <v>87</v>
      </c>
      <c r="C24" s="121" t="s">
        <v>301</v>
      </c>
      <c r="D24" s="121">
        <v>9</v>
      </c>
      <c r="E24" s="121">
        <v>12</v>
      </c>
      <c r="F24" s="121" t="s">
        <v>75</v>
      </c>
      <c r="G24" s="121">
        <v>9982128379</v>
      </c>
      <c r="H24" s="121">
        <v>20000</v>
      </c>
      <c r="I24" s="121">
        <v>25000</v>
      </c>
      <c r="J24" s="121">
        <v>5000</v>
      </c>
      <c r="K24" s="121">
        <v>0</v>
      </c>
      <c r="L24" s="121"/>
      <c r="M24" s="121"/>
      <c r="N24" s="121"/>
      <c r="O24" s="121">
        <f>K24+L24-M24</f>
        <v>0</v>
      </c>
    </row>
    <row r="25" spans="1:17" ht="24">
      <c r="A25" s="90">
        <v>24</v>
      </c>
      <c r="B25" s="90" t="s">
        <v>88</v>
      </c>
      <c r="C25" s="90" t="s">
        <v>302</v>
      </c>
      <c r="D25" s="90">
        <v>9</v>
      </c>
      <c r="E25" s="90">
        <v>13</v>
      </c>
      <c r="F25" s="90" t="s">
        <v>75</v>
      </c>
      <c r="G25" s="90">
        <v>6367673001</v>
      </c>
      <c r="H25" s="90">
        <v>15000</v>
      </c>
      <c r="I25" s="90">
        <v>25000</v>
      </c>
      <c r="J25" s="90">
        <v>2800</v>
      </c>
      <c r="K25" s="90">
        <v>1000</v>
      </c>
      <c r="L25" s="90"/>
      <c r="M25" s="90"/>
      <c r="N25" s="90"/>
      <c r="O25" s="90">
        <f>K25+L25-M25</f>
        <v>1000</v>
      </c>
    </row>
    <row r="26" spans="1:17" ht="24">
      <c r="A26" s="89">
        <v>25</v>
      </c>
      <c r="B26" s="89" t="s">
        <v>89</v>
      </c>
      <c r="C26" s="89" t="s">
        <v>303</v>
      </c>
      <c r="D26" s="89">
        <v>9</v>
      </c>
      <c r="E26" s="89">
        <v>14</v>
      </c>
      <c r="F26" s="89" t="s">
        <v>75</v>
      </c>
      <c r="G26" s="89">
        <v>9166821332</v>
      </c>
      <c r="H26" s="89">
        <v>13000</v>
      </c>
      <c r="I26" s="89">
        <v>25000</v>
      </c>
      <c r="J26" s="89">
        <v>3000</v>
      </c>
      <c r="K26" s="89">
        <v>13000</v>
      </c>
      <c r="L26" s="89"/>
      <c r="M26" s="89">
        <v>2000</v>
      </c>
      <c r="N26" s="89"/>
      <c r="O26" s="89">
        <f>K26+L26-M26</f>
        <v>11000</v>
      </c>
      <c r="P26" s="96" t="s">
        <v>590</v>
      </c>
    </row>
    <row r="27" spans="1:17" ht="24">
      <c r="A27" s="123">
        <v>26</v>
      </c>
      <c r="B27" s="123" t="s">
        <v>90</v>
      </c>
      <c r="C27" s="123"/>
      <c r="D27" s="123">
        <v>9</v>
      </c>
      <c r="E27" s="123">
        <v>15</v>
      </c>
      <c r="F27" s="123" t="s">
        <v>75</v>
      </c>
      <c r="G27" s="123"/>
      <c r="H27" s="123">
        <v>28000</v>
      </c>
      <c r="I27" s="123">
        <v>25000</v>
      </c>
      <c r="J27" s="123">
        <v>5000</v>
      </c>
      <c r="K27" s="123">
        <v>3000</v>
      </c>
      <c r="L27" s="123"/>
      <c r="M27" s="123">
        <v>3000</v>
      </c>
      <c r="N27" s="123"/>
      <c r="O27" s="123">
        <f>K27+L27-M27</f>
        <v>0</v>
      </c>
      <c r="P27" s="96" t="s">
        <v>591</v>
      </c>
    </row>
    <row r="28" spans="1:17" ht="24">
      <c r="A28" s="123">
        <v>27</v>
      </c>
      <c r="B28" s="123" t="s">
        <v>91</v>
      </c>
      <c r="C28" s="123"/>
      <c r="D28" s="123">
        <v>5</v>
      </c>
      <c r="E28" s="123">
        <v>15</v>
      </c>
      <c r="F28" s="123" t="s">
        <v>75</v>
      </c>
      <c r="G28" s="123"/>
      <c r="H28" s="123"/>
      <c r="I28" s="123">
        <v>14200</v>
      </c>
      <c r="J28" s="123">
        <v>5000</v>
      </c>
      <c r="K28" s="123">
        <v>0</v>
      </c>
      <c r="L28" s="123"/>
      <c r="M28" s="123"/>
      <c r="N28" s="123"/>
      <c r="O28" s="123"/>
    </row>
    <row r="29" spans="1:17" ht="24">
      <c r="A29" s="121">
        <v>28</v>
      </c>
      <c r="B29" s="121" t="s">
        <v>92</v>
      </c>
      <c r="C29" s="121"/>
      <c r="D29" s="121">
        <v>9</v>
      </c>
      <c r="E29" s="121">
        <v>16</v>
      </c>
      <c r="F29" s="121" t="s">
        <v>75</v>
      </c>
      <c r="G29" s="121"/>
      <c r="H29" s="121">
        <v>13500</v>
      </c>
      <c r="I29" s="121">
        <v>25000</v>
      </c>
      <c r="J29" s="121">
        <v>2500</v>
      </c>
      <c r="K29" s="121">
        <v>0</v>
      </c>
      <c r="L29" s="121"/>
      <c r="M29" s="121"/>
      <c r="N29" s="121"/>
      <c r="O29" s="121">
        <f>K29+L29-M29</f>
        <v>0</v>
      </c>
    </row>
    <row r="30" spans="1:17" ht="24">
      <c r="A30" s="123">
        <v>29</v>
      </c>
      <c r="B30" s="123" t="s">
        <v>93</v>
      </c>
      <c r="C30" s="123"/>
      <c r="D30" s="123">
        <v>9</v>
      </c>
      <c r="E30" s="123">
        <v>17</v>
      </c>
      <c r="F30" s="123" t="s">
        <v>75</v>
      </c>
      <c r="G30" s="123"/>
      <c r="H30" s="123">
        <v>13500</v>
      </c>
      <c r="I30" s="123">
        <v>25000</v>
      </c>
      <c r="J30" s="123">
        <v>2300</v>
      </c>
      <c r="K30" s="123">
        <v>0</v>
      </c>
      <c r="L30" s="123"/>
      <c r="M30" s="123"/>
      <c r="N30" s="123"/>
      <c r="O30" s="123">
        <f>K30+L30-M30</f>
        <v>0</v>
      </c>
    </row>
    <row r="31" spans="1:17" ht="24">
      <c r="A31" s="89">
        <v>30</v>
      </c>
      <c r="B31" s="89" t="s">
        <v>94</v>
      </c>
      <c r="C31" s="89" t="s">
        <v>304</v>
      </c>
      <c r="D31" s="89">
        <v>9</v>
      </c>
      <c r="E31" s="89">
        <v>18</v>
      </c>
      <c r="F31" s="89" t="s">
        <v>75</v>
      </c>
      <c r="G31" s="89">
        <v>9928732253</v>
      </c>
      <c r="H31" s="89">
        <v>20000</v>
      </c>
      <c r="I31" s="89">
        <v>25000</v>
      </c>
      <c r="J31" s="89">
        <v>2500</v>
      </c>
      <c r="K31" s="89">
        <v>12000</v>
      </c>
      <c r="L31" s="89"/>
      <c r="M31" s="89">
        <v>12000</v>
      </c>
      <c r="N31" s="89"/>
      <c r="O31" s="89">
        <f>K31+L31-M31</f>
        <v>0</v>
      </c>
      <c r="P31" s="96" t="s">
        <v>592</v>
      </c>
    </row>
    <row r="32" spans="1:17" ht="24">
      <c r="A32" s="89">
        <v>31</v>
      </c>
      <c r="B32" s="89" t="s">
        <v>95</v>
      </c>
      <c r="C32" s="89"/>
      <c r="D32" s="89">
        <v>7</v>
      </c>
      <c r="E32" s="89">
        <v>18</v>
      </c>
      <c r="F32" s="89" t="s">
        <v>75</v>
      </c>
      <c r="G32" s="89"/>
      <c r="H32" s="89"/>
      <c r="I32" s="89">
        <v>15900</v>
      </c>
      <c r="J32" s="89">
        <v>2500</v>
      </c>
      <c r="K32" s="89">
        <v>0</v>
      </c>
      <c r="L32" s="89"/>
      <c r="M32" s="89"/>
      <c r="N32" s="89"/>
      <c r="O32" s="89"/>
    </row>
    <row r="33" spans="1:16" ht="24">
      <c r="A33" s="89">
        <v>32</v>
      </c>
      <c r="B33" s="89" t="s">
        <v>96</v>
      </c>
      <c r="C33" s="89"/>
      <c r="D33" s="89">
        <v>5</v>
      </c>
      <c r="E33" s="89">
        <v>18</v>
      </c>
      <c r="F33" s="89" t="s">
        <v>75</v>
      </c>
      <c r="G33" s="89"/>
      <c r="H33" s="89"/>
      <c r="I33" s="89">
        <v>14200</v>
      </c>
      <c r="J33" s="89">
        <v>2500</v>
      </c>
      <c r="K33" s="89">
        <v>0</v>
      </c>
      <c r="L33" s="89"/>
      <c r="M33" s="89"/>
      <c r="N33" s="89"/>
      <c r="O33" s="89"/>
    </row>
    <row r="34" spans="1:16" ht="24">
      <c r="A34" s="89">
        <v>33</v>
      </c>
      <c r="B34" s="89" t="s">
        <v>97</v>
      </c>
      <c r="C34" s="89"/>
      <c r="D34" s="89" t="s">
        <v>130</v>
      </c>
      <c r="E34" s="89">
        <v>18</v>
      </c>
      <c r="F34" s="89" t="s">
        <v>76</v>
      </c>
      <c r="G34" s="89"/>
      <c r="H34" s="89"/>
      <c r="I34" s="89">
        <v>0</v>
      </c>
      <c r="J34" s="89">
        <v>2500</v>
      </c>
      <c r="K34" s="89">
        <v>0</v>
      </c>
      <c r="L34" s="89"/>
      <c r="M34" s="89"/>
      <c r="N34" s="89"/>
      <c r="O34" s="89"/>
    </row>
    <row r="35" spans="1:16" ht="24">
      <c r="A35" s="121">
        <v>34</v>
      </c>
      <c r="B35" s="121" t="s">
        <v>99</v>
      </c>
      <c r="C35" s="122" t="s">
        <v>305</v>
      </c>
      <c r="D35" s="121">
        <v>8</v>
      </c>
      <c r="E35" s="121">
        <v>19</v>
      </c>
      <c r="F35" s="121" t="s">
        <v>75</v>
      </c>
      <c r="G35" s="121">
        <v>8058123753</v>
      </c>
      <c r="H35" s="121">
        <v>34000</v>
      </c>
      <c r="I35" s="121">
        <v>18700</v>
      </c>
      <c r="J35" s="121">
        <v>4700</v>
      </c>
      <c r="K35" s="121">
        <v>0</v>
      </c>
      <c r="L35" s="121"/>
      <c r="M35" s="121">
        <v>500</v>
      </c>
      <c r="N35" s="121"/>
      <c r="O35" s="121">
        <f>K35+L35-M35</f>
        <v>-500</v>
      </c>
      <c r="P35" s="96" t="s">
        <v>598</v>
      </c>
    </row>
    <row r="36" spans="1:16" ht="24">
      <c r="A36" s="121">
        <v>35</v>
      </c>
      <c r="B36" s="121" t="s">
        <v>100</v>
      </c>
      <c r="C36" s="122" t="s">
        <v>419</v>
      </c>
      <c r="D36" s="121">
        <v>8</v>
      </c>
      <c r="E36" s="121">
        <v>19</v>
      </c>
      <c r="F36" s="121" t="s">
        <v>75</v>
      </c>
      <c r="G36" s="121">
        <v>7297872191</v>
      </c>
      <c r="H36" s="121"/>
      <c r="I36" s="121">
        <v>18700</v>
      </c>
      <c r="J36" s="121">
        <v>4700</v>
      </c>
      <c r="K36" s="121">
        <v>0</v>
      </c>
      <c r="L36" s="121"/>
      <c r="M36" s="121"/>
      <c r="N36" s="121"/>
      <c r="O36" s="121"/>
    </row>
    <row r="37" spans="1:16" ht="24">
      <c r="A37" s="121">
        <v>36</v>
      </c>
      <c r="B37" s="121" t="s">
        <v>101</v>
      </c>
      <c r="C37" s="122"/>
      <c r="D37" s="121">
        <v>1</v>
      </c>
      <c r="E37" s="121">
        <v>19</v>
      </c>
      <c r="F37" s="121" t="s">
        <v>75</v>
      </c>
      <c r="G37" s="121"/>
      <c r="H37" s="121"/>
      <c r="I37" s="121">
        <v>11500</v>
      </c>
      <c r="J37" s="121">
        <v>4700</v>
      </c>
      <c r="K37" s="121">
        <v>0</v>
      </c>
      <c r="L37" s="121"/>
      <c r="M37" s="121"/>
      <c r="N37" s="121"/>
      <c r="O37" s="121"/>
    </row>
    <row r="38" spans="1:16" ht="24">
      <c r="A38" s="89">
        <v>37</v>
      </c>
      <c r="B38" s="89" t="s">
        <v>103</v>
      </c>
      <c r="C38" s="92" t="s">
        <v>306</v>
      </c>
      <c r="D38" s="89">
        <v>8</v>
      </c>
      <c r="E38" s="89">
        <v>20</v>
      </c>
      <c r="F38" s="89" t="s">
        <v>75</v>
      </c>
      <c r="G38" s="89">
        <v>9783457003</v>
      </c>
      <c r="H38" s="89">
        <v>20500</v>
      </c>
      <c r="I38" s="89">
        <v>18700</v>
      </c>
      <c r="J38" s="89">
        <v>2800</v>
      </c>
      <c r="K38" s="89">
        <v>0</v>
      </c>
      <c r="L38" s="89"/>
      <c r="M38" s="89"/>
      <c r="N38" s="89"/>
      <c r="O38" s="89">
        <f>K38+L38-M38</f>
        <v>0</v>
      </c>
    </row>
    <row r="39" spans="1:16" ht="24">
      <c r="A39" s="89">
        <v>38</v>
      </c>
      <c r="B39" s="89" t="s">
        <v>104</v>
      </c>
      <c r="C39" s="89"/>
      <c r="D39" s="89">
        <v>6</v>
      </c>
      <c r="E39" s="89">
        <v>20</v>
      </c>
      <c r="F39" s="89" t="s">
        <v>76</v>
      </c>
      <c r="G39" s="89"/>
      <c r="H39" s="89"/>
      <c r="I39" s="89">
        <v>0</v>
      </c>
      <c r="J39" s="89">
        <v>2800</v>
      </c>
      <c r="K39" s="89">
        <v>0</v>
      </c>
      <c r="L39" s="89"/>
      <c r="M39" s="89"/>
      <c r="N39" s="89"/>
      <c r="O39" s="89"/>
    </row>
    <row r="40" spans="1:16" ht="24">
      <c r="A40" s="121">
        <v>39</v>
      </c>
      <c r="B40" s="121" t="s">
        <v>105</v>
      </c>
      <c r="C40" s="121"/>
      <c r="D40" s="121">
        <v>8</v>
      </c>
      <c r="E40" s="121">
        <v>21</v>
      </c>
      <c r="F40" s="121" t="s">
        <v>75</v>
      </c>
      <c r="G40" s="121"/>
      <c r="H40" s="121">
        <v>13000</v>
      </c>
      <c r="I40" s="121">
        <v>18700</v>
      </c>
      <c r="J40" s="121">
        <v>3200</v>
      </c>
      <c r="K40" s="121">
        <v>0</v>
      </c>
      <c r="L40" s="121"/>
      <c r="M40" s="121"/>
      <c r="N40" s="121"/>
      <c r="O40" s="121">
        <f>K40+L40-M40</f>
        <v>0</v>
      </c>
    </row>
    <row r="41" spans="1:16" ht="24">
      <c r="A41" s="89">
        <v>40</v>
      </c>
      <c r="B41" s="89" t="s">
        <v>106</v>
      </c>
      <c r="C41" s="89" t="s">
        <v>307</v>
      </c>
      <c r="D41" s="89">
        <v>8</v>
      </c>
      <c r="E41" s="89">
        <v>22</v>
      </c>
      <c r="F41" s="89" t="s">
        <v>75</v>
      </c>
      <c r="G41" s="89">
        <v>8094447447</v>
      </c>
      <c r="H41" s="89">
        <v>30000</v>
      </c>
      <c r="I41" s="89">
        <v>18700</v>
      </c>
      <c r="J41" s="89">
        <v>3200</v>
      </c>
      <c r="K41" s="89">
        <v>5000</v>
      </c>
      <c r="L41" s="89"/>
      <c r="M41" s="89"/>
      <c r="N41" s="89"/>
      <c r="O41" s="89">
        <f>K41+L41-M41</f>
        <v>5000</v>
      </c>
    </row>
    <row r="42" spans="1:16" ht="24">
      <c r="A42" s="89">
        <v>41</v>
      </c>
      <c r="B42" s="89" t="s">
        <v>107</v>
      </c>
      <c r="C42" s="89"/>
      <c r="D42" s="89">
        <v>6</v>
      </c>
      <c r="E42" s="89">
        <v>22</v>
      </c>
      <c r="F42" s="89" t="s">
        <v>75</v>
      </c>
      <c r="G42" s="89"/>
      <c r="H42" s="89"/>
      <c r="I42" s="89">
        <v>14700</v>
      </c>
      <c r="J42" s="89">
        <v>3200</v>
      </c>
      <c r="K42" s="89">
        <v>0</v>
      </c>
      <c r="L42" s="89"/>
      <c r="M42" s="89"/>
      <c r="N42" s="89"/>
      <c r="O42" s="89"/>
    </row>
    <row r="43" spans="1:16" ht="24">
      <c r="A43" s="89">
        <v>42</v>
      </c>
      <c r="B43" s="89" t="s">
        <v>108</v>
      </c>
      <c r="C43" s="89"/>
      <c r="D43" s="89">
        <v>1</v>
      </c>
      <c r="E43" s="89">
        <v>22</v>
      </c>
      <c r="F43" s="89" t="s">
        <v>75</v>
      </c>
      <c r="G43" s="89"/>
      <c r="H43" s="89"/>
      <c r="I43" s="89">
        <v>11500</v>
      </c>
      <c r="J43" s="89">
        <v>3200</v>
      </c>
      <c r="K43" s="89">
        <v>0</v>
      </c>
      <c r="L43" s="89"/>
      <c r="M43" s="89"/>
      <c r="N43" s="89"/>
      <c r="O43" s="89"/>
    </row>
    <row r="44" spans="1:16" ht="48">
      <c r="A44" s="90"/>
      <c r="B44" s="95" t="s">
        <v>283</v>
      </c>
      <c r="C44" s="95" t="s">
        <v>515</v>
      </c>
      <c r="D44" s="90" t="s">
        <v>130</v>
      </c>
      <c r="E44" s="90">
        <v>121</v>
      </c>
      <c r="F44" s="90" t="s">
        <v>75</v>
      </c>
      <c r="G44" s="90"/>
      <c r="H44" s="90">
        <v>4000</v>
      </c>
      <c r="I44" s="90">
        <v>9300</v>
      </c>
      <c r="J44" s="90">
        <v>3200</v>
      </c>
      <c r="K44" s="90">
        <v>2000</v>
      </c>
      <c r="L44" s="90"/>
      <c r="M44" s="90"/>
      <c r="N44" s="90"/>
      <c r="O44" s="90">
        <f>K44+L44-M44</f>
        <v>2000</v>
      </c>
    </row>
    <row r="45" spans="1:16" ht="24">
      <c r="A45" s="121">
        <v>43</v>
      </c>
      <c r="B45" s="121" t="s">
        <v>109</v>
      </c>
      <c r="C45" s="121" t="s">
        <v>308</v>
      </c>
      <c r="D45" s="121">
        <v>9</v>
      </c>
      <c r="E45" s="121">
        <v>23</v>
      </c>
      <c r="F45" s="121" t="s">
        <v>75</v>
      </c>
      <c r="G45" s="121">
        <v>9828051602</v>
      </c>
      <c r="H45" s="121">
        <v>17000</v>
      </c>
      <c r="I45" s="121">
        <v>25000</v>
      </c>
      <c r="J45" s="121">
        <v>5000</v>
      </c>
      <c r="K45" s="121">
        <v>0</v>
      </c>
      <c r="L45" s="121"/>
      <c r="M45" s="121"/>
      <c r="N45" s="121"/>
      <c r="O45" s="121">
        <f>K45+L45-M45</f>
        <v>0</v>
      </c>
    </row>
    <row r="46" spans="1:16" ht="24">
      <c r="A46" s="93">
        <v>44</v>
      </c>
      <c r="B46" s="93" t="s">
        <v>110</v>
      </c>
      <c r="C46" s="93" t="s">
        <v>309</v>
      </c>
      <c r="D46" s="93">
        <v>8</v>
      </c>
      <c r="E46" s="93">
        <v>24</v>
      </c>
      <c r="F46" s="93" t="s">
        <v>75</v>
      </c>
      <c r="G46" s="93">
        <v>9928092116</v>
      </c>
      <c r="H46" s="93">
        <v>30000</v>
      </c>
      <c r="I46" s="93">
        <v>18700</v>
      </c>
      <c r="J46" s="93">
        <v>5000</v>
      </c>
      <c r="K46" s="93">
        <v>0</v>
      </c>
      <c r="L46" s="93"/>
      <c r="M46" s="93"/>
      <c r="N46" s="93"/>
      <c r="O46" s="93">
        <f>K46+L46-M46</f>
        <v>0</v>
      </c>
    </row>
    <row r="47" spans="1:16">
      <c r="A47" s="93">
        <v>45</v>
      </c>
      <c r="B47" s="93" t="s">
        <v>111</v>
      </c>
      <c r="C47" s="93"/>
      <c r="D47" s="93">
        <v>7</v>
      </c>
      <c r="E47" s="93">
        <v>24</v>
      </c>
      <c r="F47" s="93" t="s">
        <v>75</v>
      </c>
      <c r="G47" s="93"/>
      <c r="H47" s="93"/>
      <c r="I47" s="93">
        <v>15900</v>
      </c>
      <c r="J47" s="93">
        <v>5000</v>
      </c>
      <c r="K47" s="93">
        <v>0</v>
      </c>
      <c r="L47" s="93"/>
      <c r="M47" s="93"/>
      <c r="N47" s="93"/>
      <c r="O47" s="93"/>
    </row>
    <row r="48" spans="1:16" ht="24">
      <c r="A48" s="93">
        <v>46</v>
      </c>
      <c r="B48" s="93" t="s">
        <v>112</v>
      </c>
      <c r="C48" s="93"/>
      <c r="D48" s="93">
        <v>3</v>
      </c>
      <c r="E48" s="93">
        <v>24</v>
      </c>
      <c r="F48" s="93" t="s">
        <v>75</v>
      </c>
      <c r="G48" s="93"/>
      <c r="H48" s="93"/>
      <c r="I48" s="93">
        <v>13300</v>
      </c>
      <c r="J48" s="93">
        <v>5000</v>
      </c>
      <c r="K48" s="93">
        <v>0</v>
      </c>
      <c r="L48" s="93"/>
      <c r="M48" s="93"/>
      <c r="N48" s="93"/>
      <c r="O48" s="93"/>
    </row>
    <row r="49" spans="1:16" ht="24">
      <c r="A49" s="90">
        <v>47</v>
      </c>
      <c r="B49" s="90" t="s">
        <v>113</v>
      </c>
      <c r="C49" s="90" t="s">
        <v>516</v>
      </c>
      <c r="D49" s="90">
        <v>8</v>
      </c>
      <c r="E49" s="90">
        <v>25</v>
      </c>
      <c r="F49" s="90" t="s">
        <v>75</v>
      </c>
      <c r="G49" s="90">
        <v>9828289578</v>
      </c>
      <c r="H49" s="90">
        <v>14800</v>
      </c>
      <c r="I49" s="90">
        <v>18700</v>
      </c>
      <c r="J49" s="90">
        <v>2200</v>
      </c>
      <c r="K49" s="90">
        <v>0</v>
      </c>
      <c r="L49" s="90"/>
      <c r="M49" s="90"/>
      <c r="N49" s="90"/>
      <c r="O49" s="90">
        <f t="shared" ref="O49:O50" si="0">K49+L49-M49</f>
        <v>0</v>
      </c>
    </row>
    <row r="50" spans="1:16" ht="24">
      <c r="A50" s="89">
        <v>48</v>
      </c>
      <c r="B50" s="89" t="s">
        <v>114</v>
      </c>
      <c r="C50" s="89" t="s">
        <v>310</v>
      </c>
      <c r="D50" s="89">
        <v>8</v>
      </c>
      <c r="E50" s="89">
        <v>26</v>
      </c>
      <c r="F50" s="89" t="s">
        <v>75</v>
      </c>
      <c r="G50" s="89">
        <v>9785690310</v>
      </c>
      <c r="H50" s="89">
        <v>30000</v>
      </c>
      <c r="I50" s="89">
        <v>18700</v>
      </c>
      <c r="J50" s="89">
        <v>3000</v>
      </c>
      <c r="K50" s="89">
        <v>0</v>
      </c>
      <c r="L50" s="89"/>
      <c r="M50" s="89"/>
      <c r="N50" s="89"/>
      <c r="O50" s="89">
        <f t="shared" si="0"/>
        <v>0</v>
      </c>
    </row>
    <row r="51" spans="1:16" ht="24">
      <c r="A51" s="89">
        <v>49</v>
      </c>
      <c r="B51" s="89" t="s">
        <v>115</v>
      </c>
      <c r="C51" s="89"/>
      <c r="D51" s="89">
        <v>3</v>
      </c>
      <c r="E51" s="89">
        <v>26</v>
      </c>
      <c r="F51" s="89" t="s">
        <v>75</v>
      </c>
      <c r="G51" s="89"/>
      <c r="H51" s="89"/>
      <c r="I51" s="89">
        <v>13300</v>
      </c>
      <c r="J51" s="89">
        <v>3000</v>
      </c>
      <c r="K51" s="89">
        <v>0</v>
      </c>
      <c r="L51" s="89"/>
      <c r="M51" s="89"/>
      <c r="N51" s="89"/>
      <c r="O51" s="89"/>
    </row>
    <row r="52" spans="1:16" ht="24">
      <c r="A52" s="89">
        <v>50</v>
      </c>
      <c r="B52" s="89" t="s">
        <v>116</v>
      </c>
      <c r="C52" s="89"/>
      <c r="D52" s="89">
        <v>3</v>
      </c>
      <c r="E52" s="89">
        <v>26</v>
      </c>
      <c r="F52" s="89" t="s">
        <v>75</v>
      </c>
      <c r="G52" s="89"/>
      <c r="H52" s="89"/>
      <c r="I52" s="89">
        <v>13300</v>
      </c>
      <c r="J52" s="89">
        <v>3000</v>
      </c>
      <c r="K52" s="89">
        <v>0</v>
      </c>
      <c r="L52" s="89"/>
      <c r="M52" s="89"/>
      <c r="N52" s="89"/>
      <c r="O52" s="89"/>
    </row>
    <row r="53" spans="1:16" ht="24">
      <c r="A53" s="90">
        <v>51</v>
      </c>
      <c r="B53" s="90" t="s">
        <v>117</v>
      </c>
      <c r="C53" s="90" t="s">
        <v>311</v>
      </c>
      <c r="D53" s="90">
        <v>7</v>
      </c>
      <c r="E53" s="90">
        <v>27</v>
      </c>
      <c r="F53" s="90" t="s">
        <v>76</v>
      </c>
      <c r="G53" s="90">
        <v>9982539124</v>
      </c>
      <c r="H53" s="90">
        <v>15000</v>
      </c>
      <c r="I53" s="90">
        <v>0</v>
      </c>
      <c r="J53" s="90">
        <v>2000</v>
      </c>
      <c r="K53" s="90">
        <v>7000</v>
      </c>
      <c r="L53" s="90"/>
      <c r="M53" s="90"/>
      <c r="N53" s="90"/>
      <c r="O53" s="90">
        <f>K53+L53-M53</f>
        <v>7000</v>
      </c>
    </row>
    <row r="54" spans="1:16" ht="24">
      <c r="A54" s="90">
        <v>52</v>
      </c>
      <c r="B54" s="90" t="s">
        <v>118</v>
      </c>
      <c r="C54" s="90"/>
      <c r="D54" s="90">
        <v>6</v>
      </c>
      <c r="E54" s="90">
        <v>27</v>
      </c>
      <c r="F54" s="90" t="s">
        <v>75</v>
      </c>
      <c r="G54" s="90"/>
      <c r="H54" s="90"/>
      <c r="I54" s="90">
        <v>14700</v>
      </c>
      <c r="J54" s="90">
        <v>2000</v>
      </c>
      <c r="K54" s="90"/>
      <c r="L54" s="90"/>
      <c r="M54" s="90"/>
      <c r="N54" s="90"/>
      <c r="O54" s="90"/>
    </row>
    <row r="55" spans="1:16" ht="24">
      <c r="A55" s="89">
        <v>53</v>
      </c>
      <c r="B55" s="89" t="s">
        <v>119</v>
      </c>
      <c r="C55" s="89" t="s">
        <v>312</v>
      </c>
      <c r="D55" s="89">
        <v>7</v>
      </c>
      <c r="E55" s="89">
        <v>28</v>
      </c>
      <c r="F55" s="89" t="s">
        <v>75</v>
      </c>
      <c r="G55" s="89">
        <v>7742232992</v>
      </c>
      <c r="H55" s="89">
        <v>44000</v>
      </c>
      <c r="I55" s="89">
        <v>15900</v>
      </c>
      <c r="J55" s="89">
        <v>2800</v>
      </c>
      <c r="K55" s="89">
        <v>9000</v>
      </c>
      <c r="L55" s="89"/>
      <c r="M55" s="89">
        <v>5000</v>
      </c>
      <c r="N55" s="89"/>
      <c r="O55" s="89">
        <f>K55+L55-M55</f>
        <v>4000</v>
      </c>
      <c r="P55" s="96" t="s">
        <v>593</v>
      </c>
    </row>
    <row r="56" spans="1:16" ht="24">
      <c r="A56" s="89">
        <v>54</v>
      </c>
      <c r="B56" s="89" t="s">
        <v>120</v>
      </c>
      <c r="C56" s="89"/>
      <c r="D56" s="89">
        <v>7</v>
      </c>
      <c r="E56" s="89">
        <v>28</v>
      </c>
      <c r="F56" s="89" t="s">
        <v>75</v>
      </c>
      <c r="G56" s="89"/>
      <c r="H56" s="89"/>
      <c r="I56" s="89">
        <v>15900</v>
      </c>
      <c r="J56" s="89">
        <v>2800</v>
      </c>
      <c r="K56" s="89"/>
      <c r="L56" s="89"/>
      <c r="M56" s="89"/>
      <c r="N56" s="89"/>
      <c r="O56" s="89"/>
    </row>
    <row r="57" spans="1:16" ht="24">
      <c r="A57" s="89">
        <v>55</v>
      </c>
      <c r="B57" s="89" t="s">
        <v>121</v>
      </c>
      <c r="C57" s="89"/>
      <c r="D57" s="89" t="s">
        <v>102</v>
      </c>
      <c r="E57" s="89">
        <v>28</v>
      </c>
      <c r="F57" s="89" t="s">
        <v>75</v>
      </c>
      <c r="G57" s="89"/>
      <c r="H57" s="89"/>
      <c r="I57" s="89">
        <v>9800</v>
      </c>
      <c r="J57" s="89">
        <v>2800</v>
      </c>
      <c r="K57" s="89"/>
      <c r="L57" s="89"/>
      <c r="M57" s="89"/>
      <c r="N57" s="89"/>
      <c r="O57" s="89"/>
    </row>
    <row r="58" spans="1:16" ht="24">
      <c r="A58" s="89">
        <v>56</v>
      </c>
      <c r="B58" s="89" t="s">
        <v>122</v>
      </c>
      <c r="C58" s="89"/>
      <c r="D58" s="89">
        <v>3</v>
      </c>
      <c r="E58" s="89">
        <v>28</v>
      </c>
      <c r="F58" s="89" t="s">
        <v>75</v>
      </c>
      <c r="G58" s="89"/>
      <c r="H58" s="89"/>
      <c r="I58" s="89">
        <v>13300</v>
      </c>
      <c r="J58" s="89">
        <v>2800</v>
      </c>
      <c r="K58" s="89"/>
      <c r="L58" s="89"/>
      <c r="M58" s="89"/>
      <c r="N58" s="89"/>
      <c r="O58" s="89"/>
    </row>
    <row r="59" spans="1:16">
      <c r="A59" s="90">
        <v>57</v>
      </c>
      <c r="B59" s="90" t="s">
        <v>123</v>
      </c>
      <c r="C59" s="90"/>
      <c r="D59" s="90">
        <v>7</v>
      </c>
      <c r="E59" s="90">
        <v>29</v>
      </c>
      <c r="F59" s="90" t="s">
        <v>75</v>
      </c>
      <c r="G59" s="90"/>
      <c r="H59" s="90">
        <v>24000</v>
      </c>
      <c r="I59" s="90">
        <v>15900</v>
      </c>
      <c r="J59" s="90">
        <v>5000</v>
      </c>
      <c r="K59" s="90">
        <v>0</v>
      </c>
      <c r="L59" s="90"/>
      <c r="M59" s="90"/>
      <c r="N59" s="90"/>
      <c r="O59" s="90">
        <f>K59+L59-M59</f>
        <v>0</v>
      </c>
    </row>
    <row r="60" spans="1:16">
      <c r="A60" s="90">
        <v>58</v>
      </c>
      <c r="B60" s="90" t="s">
        <v>124</v>
      </c>
      <c r="C60" s="90"/>
      <c r="D60" s="90">
        <v>2</v>
      </c>
      <c r="E60" s="90">
        <v>29</v>
      </c>
      <c r="F60" s="90" t="s">
        <v>75</v>
      </c>
      <c r="G60" s="90"/>
      <c r="H60" s="90"/>
      <c r="I60" s="90">
        <v>12000</v>
      </c>
      <c r="J60" s="90">
        <v>5000</v>
      </c>
      <c r="K60" s="90">
        <v>0</v>
      </c>
      <c r="L60" s="90"/>
      <c r="M60" s="90"/>
      <c r="N60" s="90"/>
      <c r="O60" s="90"/>
    </row>
    <row r="61" spans="1:16" ht="24">
      <c r="A61" s="89">
        <v>59</v>
      </c>
      <c r="B61" s="89" t="s">
        <v>125</v>
      </c>
      <c r="C61" s="89" t="s">
        <v>313</v>
      </c>
      <c r="D61" s="89">
        <v>7</v>
      </c>
      <c r="E61" s="89">
        <v>30</v>
      </c>
      <c r="F61" s="89" t="s">
        <v>75</v>
      </c>
      <c r="G61" s="89">
        <v>9772971159</v>
      </c>
      <c r="H61" s="89">
        <v>50000</v>
      </c>
      <c r="I61" s="89">
        <v>15900</v>
      </c>
      <c r="J61" s="89">
        <v>2200</v>
      </c>
      <c r="K61" s="89">
        <v>26000</v>
      </c>
      <c r="L61" s="89"/>
      <c r="M61" s="89">
        <v>14000</v>
      </c>
      <c r="N61" s="89"/>
      <c r="O61" s="89">
        <f>K61+L61-M61</f>
        <v>12000</v>
      </c>
      <c r="P61" s="96" t="s">
        <v>594</v>
      </c>
    </row>
    <row r="62" spans="1:16" ht="24">
      <c r="A62" s="89">
        <v>60</v>
      </c>
      <c r="B62" s="89" t="s">
        <v>126</v>
      </c>
      <c r="C62" s="89"/>
      <c r="D62" s="89">
        <v>7</v>
      </c>
      <c r="E62" s="89">
        <v>30</v>
      </c>
      <c r="F62" s="89" t="s">
        <v>75</v>
      </c>
      <c r="G62" s="89"/>
      <c r="H62" s="89"/>
      <c r="I62" s="89">
        <v>15900</v>
      </c>
      <c r="J62" s="89">
        <v>2200</v>
      </c>
      <c r="K62" s="89"/>
      <c r="L62" s="89"/>
      <c r="M62" s="89"/>
      <c r="N62" s="89"/>
      <c r="O62" s="89"/>
    </row>
    <row r="63" spans="1:16" ht="24">
      <c r="A63" s="89">
        <v>61</v>
      </c>
      <c r="B63" s="89" t="s">
        <v>127</v>
      </c>
      <c r="C63" s="89"/>
      <c r="D63" s="89">
        <v>5</v>
      </c>
      <c r="E63" s="89">
        <v>30</v>
      </c>
      <c r="F63" s="89" t="s">
        <v>75</v>
      </c>
      <c r="G63" s="89"/>
      <c r="H63" s="89"/>
      <c r="I63" s="89">
        <v>14200</v>
      </c>
      <c r="J63" s="89">
        <v>2200</v>
      </c>
      <c r="K63" s="89"/>
      <c r="L63" s="89"/>
      <c r="M63" s="89"/>
      <c r="N63" s="89"/>
      <c r="O63" s="89"/>
    </row>
    <row r="64" spans="1:16" ht="24">
      <c r="A64" s="89">
        <v>62</v>
      </c>
      <c r="B64" s="89" t="s">
        <v>128</v>
      </c>
      <c r="C64" s="89"/>
      <c r="D64" s="89">
        <v>5</v>
      </c>
      <c r="E64" s="89">
        <v>30</v>
      </c>
      <c r="F64" s="89" t="s">
        <v>75</v>
      </c>
      <c r="G64" s="89"/>
      <c r="H64" s="89"/>
      <c r="I64" s="89">
        <v>14200</v>
      </c>
      <c r="J64" s="89">
        <v>2200</v>
      </c>
      <c r="K64" s="89"/>
      <c r="L64" s="89"/>
      <c r="M64" s="89"/>
      <c r="N64" s="89"/>
      <c r="O64" s="89"/>
    </row>
    <row r="65" spans="1:16" ht="24">
      <c r="A65" s="89">
        <v>63</v>
      </c>
      <c r="B65" s="89" t="s">
        <v>129</v>
      </c>
      <c r="C65" s="89"/>
      <c r="D65" s="89" t="s">
        <v>102</v>
      </c>
      <c r="E65" s="89">
        <v>30</v>
      </c>
      <c r="F65" s="89" t="s">
        <v>75</v>
      </c>
      <c r="G65" s="89"/>
      <c r="H65" s="89"/>
      <c r="I65" s="89">
        <v>9800</v>
      </c>
      <c r="J65" s="89">
        <v>2200</v>
      </c>
      <c r="K65" s="89"/>
      <c r="L65" s="89"/>
      <c r="M65" s="89"/>
      <c r="N65" s="89"/>
      <c r="O65" s="89"/>
    </row>
    <row r="66" spans="1:16" ht="24">
      <c r="A66" s="90">
        <v>64</v>
      </c>
      <c r="B66" s="90" t="s">
        <v>131</v>
      </c>
      <c r="C66" s="90" t="s">
        <v>314</v>
      </c>
      <c r="D66" s="90">
        <v>7</v>
      </c>
      <c r="E66" s="90">
        <v>31</v>
      </c>
      <c r="F66" s="90" t="s">
        <v>76</v>
      </c>
      <c r="G66" s="90">
        <v>9982777692</v>
      </c>
      <c r="H66" s="90">
        <v>12000</v>
      </c>
      <c r="I66" s="90">
        <v>0</v>
      </c>
      <c r="J66" s="90">
        <v>0</v>
      </c>
      <c r="K66" s="90">
        <v>10000</v>
      </c>
      <c r="L66" s="90"/>
      <c r="M66" s="90"/>
      <c r="N66" s="90"/>
      <c r="O66" s="90">
        <f>K66+L66-M66</f>
        <v>10000</v>
      </c>
      <c r="P66" s="96" t="s">
        <v>133</v>
      </c>
    </row>
    <row r="67" spans="1:16" ht="24">
      <c r="A67" s="90">
        <v>65</v>
      </c>
      <c r="B67" s="90" t="s">
        <v>132</v>
      </c>
      <c r="C67" s="90"/>
      <c r="D67" s="90">
        <v>5</v>
      </c>
      <c r="E67" s="90">
        <v>31</v>
      </c>
      <c r="F67" s="90" t="s">
        <v>75</v>
      </c>
      <c r="G67" s="90"/>
      <c r="H67" s="90"/>
      <c r="I67" s="90">
        <v>14200</v>
      </c>
      <c r="J67" s="90">
        <v>0</v>
      </c>
      <c r="K67" s="90"/>
      <c r="L67" s="90"/>
      <c r="M67" s="90"/>
      <c r="N67" s="90"/>
      <c r="O67" s="90"/>
    </row>
    <row r="68" spans="1:16" ht="24">
      <c r="A68" s="89">
        <v>66</v>
      </c>
      <c r="B68" s="89" t="s">
        <v>134</v>
      </c>
      <c r="C68" s="89" t="s">
        <v>315</v>
      </c>
      <c r="D68" s="89">
        <v>7</v>
      </c>
      <c r="E68" s="89">
        <v>32</v>
      </c>
      <c r="F68" s="89" t="s">
        <v>75</v>
      </c>
      <c r="G68" s="89">
        <v>9982777653</v>
      </c>
      <c r="H68" s="89">
        <v>20000</v>
      </c>
      <c r="I68" s="89">
        <v>15900</v>
      </c>
      <c r="J68" s="89">
        <v>2200</v>
      </c>
      <c r="K68" s="89">
        <v>9000</v>
      </c>
      <c r="L68" s="89"/>
      <c r="M68" s="89"/>
      <c r="N68" s="89"/>
      <c r="O68" s="89">
        <f>K68+L68-M68</f>
        <v>9000</v>
      </c>
    </row>
    <row r="69" spans="1:16" ht="24">
      <c r="A69" s="89">
        <v>67</v>
      </c>
      <c r="B69" s="89" t="s">
        <v>135</v>
      </c>
      <c r="C69" s="89"/>
      <c r="D69" s="89" t="s">
        <v>102</v>
      </c>
      <c r="E69" s="89">
        <v>32</v>
      </c>
      <c r="F69" s="89" t="s">
        <v>75</v>
      </c>
      <c r="G69" s="89"/>
      <c r="H69" s="89"/>
      <c r="I69" s="89">
        <v>9800</v>
      </c>
      <c r="J69" s="89">
        <v>2200</v>
      </c>
      <c r="K69" s="89"/>
      <c r="L69" s="89"/>
      <c r="M69" s="89"/>
      <c r="N69" s="89"/>
      <c r="O69" s="89"/>
    </row>
    <row r="70" spans="1:16" ht="48">
      <c r="A70" s="90">
        <v>68</v>
      </c>
      <c r="B70" s="90" t="s">
        <v>136</v>
      </c>
      <c r="C70" s="90" t="s">
        <v>316</v>
      </c>
      <c r="D70" s="90">
        <v>7</v>
      </c>
      <c r="E70" s="90">
        <v>33</v>
      </c>
      <c r="F70" s="90" t="s">
        <v>75</v>
      </c>
      <c r="G70" s="90">
        <v>9929392322</v>
      </c>
      <c r="H70" s="90">
        <v>20000</v>
      </c>
      <c r="I70" s="90">
        <v>15900</v>
      </c>
      <c r="J70" s="90">
        <v>4200</v>
      </c>
      <c r="K70" s="90">
        <v>10000</v>
      </c>
      <c r="L70" s="90"/>
      <c r="M70" s="90">
        <v>3000</v>
      </c>
      <c r="N70" s="90"/>
      <c r="O70" s="90">
        <f>K70+L70-M70</f>
        <v>7000</v>
      </c>
      <c r="P70" s="96" t="s">
        <v>595</v>
      </c>
    </row>
    <row r="71" spans="1:16" ht="24">
      <c r="A71" s="90">
        <v>69</v>
      </c>
      <c r="B71" s="90" t="s">
        <v>137</v>
      </c>
      <c r="C71" s="90"/>
      <c r="D71" s="90">
        <v>3</v>
      </c>
      <c r="E71" s="90">
        <v>33</v>
      </c>
      <c r="F71" s="90" t="s">
        <v>75</v>
      </c>
      <c r="G71" s="90"/>
      <c r="H71" s="90"/>
      <c r="I71" s="90">
        <v>13300</v>
      </c>
      <c r="J71" s="90">
        <v>4200</v>
      </c>
      <c r="K71" s="90"/>
      <c r="L71" s="90"/>
      <c r="M71" s="90"/>
      <c r="N71" s="90"/>
      <c r="O71" s="90"/>
    </row>
    <row r="72" spans="1:16" ht="24">
      <c r="A72" s="89">
        <v>70</v>
      </c>
      <c r="B72" s="89" t="s">
        <v>105</v>
      </c>
      <c r="C72" s="89" t="s">
        <v>317</v>
      </c>
      <c r="D72" s="89">
        <v>7</v>
      </c>
      <c r="E72" s="89">
        <v>34</v>
      </c>
      <c r="F72" s="89" t="s">
        <v>75</v>
      </c>
      <c r="G72" s="89">
        <v>9828152018</v>
      </c>
      <c r="H72" s="89">
        <v>16000</v>
      </c>
      <c r="I72" s="89">
        <v>15900</v>
      </c>
      <c r="J72" s="89">
        <v>3000</v>
      </c>
      <c r="K72" s="89"/>
      <c r="L72" s="89"/>
      <c r="M72" s="89"/>
      <c r="N72" s="89"/>
      <c r="O72" s="89">
        <f>K72+L72-M72</f>
        <v>0</v>
      </c>
    </row>
    <row r="73" spans="1:16" ht="36">
      <c r="A73" s="90">
        <v>71</v>
      </c>
      <c r="B73" s="90" t="s">
        <v>138</v>
      </c>
      <c r="C73" s="90" t="s">
        <v>318</v>
      </c>
      <c r="D73" s="90">
        <v>7</v>
      </c>
      <c r="E73" s="90">
        <v>35</v>
      </c>
      <c r="F73" s="90" t="s">
        <v>75</v>
      </c>
      <c r="G73" s="90">
        <v>9983886565</v>
      </c>
      <c r="H73" s="90">
        <v>20000</v>
      </c>
      <c r="I73" s="90">
        <v>15900</v>
      </c>
      <c r="J73" s="90">
        <v>4200</v>
      </c>
      <c r="K73" s="90">
        <v>3000</v>
      </c>
      <c r="L73" s="90"/>
      <c r="M73" s="90"/>
      <c r="N73" s="90"/>
      <c r="O73" s="90">
        <f>K73+L73-M73</f>
        <v>3000</v>
      </c>
    </row>
    <row r="74" spans="1:16" ht="24">
      <c r="A74" s="90">
        <v>72</v>
      </c>
      <c r="B74" s="90" t="s">
        <v>139</v>
      </c>
      <c r="C74" s="90"/>
      <c r="D74" s="90">
        <v>3</v>
      </c>
      <c r="E74" s="90">
        <v>35</v>
      </c>
      <c r="F74" s="90" t="s">
        <v>75</v>
      </c>
      <c r="G74" s="90"/>
      <c r="H74" s="90"/>
      <c r="I74" s="90">
        <v>13300</v>
      </c>
      <c r="J74" s="90">
        <v>4200</v>
      </c>
      <c r="K74" s="90">
        <v>0</v>
      </c>
      <c r="L74" s="90"/>
      <c r="M74" s="90"/>
      <c r="N74" s="90"/>
      <c r="O74" s="90"/>
    </row>
    <row r="75" spans="1:16" ht="24">
      <c r="A75" s="89">
        <v>73</v>
      </c>
      <c r="B75" s="89" t="s">
        <v>140</v>
      </c>
      <c r="C75" s="89" t="s">
        <v>517</v>
      </c>
      <c r="D75" s="89">
        <v>7</v>
      </c>
      <c r="E75" s="89">
        <v>36</v>
      </c>
      <c r="F75" s="89" t="s">
        <v>75</v>
      </c>
      <c r="G75" s="89"/>
      <c r="H75" s="89">
        <v>0</v>
      </c>
      <c r="I75" s="89">
        <v>0</v>
      </c>
      <c r="J75" s="89">
        <v>0</v>
      </c>
      <c r="K75" s="89">
        <v>0</v>
      </c>
      <c r="L75" s="89"/>
      <c r="M75" s="89"/>
      <c r="N75" s="89"/>
      <c r="O75" s="89">
        <f>K75+L75-M75</f>
        <v>0</v>
      </c>
    </row>
    <row r="76" spans="1:16" ht="24">
      <c r="A76" s="89">
        <v>74</v>
      </c>
      <c r="B76" s="89" t="s">
        <v>141</v>
      </c>
      <c r="C76" s="89"/>
      <c r="D76" s="89">
        <v>2</v>
      </c>
      <c r="E76" s="89">
        <v>36</v>
      </c>
      <c r="F76" s="89" t="s">
        <v>75</v>
      </c>
      <c r="G76" s="89"/>
      <c r="H76" s="89">
        <v>0</v>
      </c>
      <c r="I76" s="89">
        <v>0</v>
      </c>
      <c r="J76" s="89">
        <v>0</v>
      </c>
      <c r="K76" s="89">
        <v>0</v>
      </c>
      <c r="L76" s="89"/>
      <c r="M76" s="89"/>
      <c r="N76" s="89"/>
      <c r="O76" s="89"/>
    </row>
    <row r="77" spans="1:16" ht="24">
      <c r="A77" s="90">
        <v>75</v>
      </c>
      <c r="B77" s="90" t="s">
        <v>142</v>
      </c>
      <c r="C77" s="90" t="s">
        <v>319</v>
      </c>
      <c r="D77" s="90">
        <v>7</v>
      </c>
      <c r="E77" s="90">
        <v>37</v>
      </c>
      <c r="F77" s="90" t="s">
        <v>75</v>
      </c>
      <c r="G77" s="90">
        <v>9828342444</v>
      </c>
      <c r="H77" s="90">
        <v>24500</v>
      </c>
      <c r="I77" s="90">
        <v>15900</v>
      </c>
      <c r="J77" s="90">
        <v>4000</v>
      </c>
      <c r="K77" s="90">
        <v>0</v>
      </c>
      <c r="L77" s="90"/>
      <c r="M77" s="90"/>
      <c r="N77" s="90"/>
      <c r="O77" s="90">
        <f>K77+L77-M77</f>
        <v>0</v>
      </c>
    </row>
    <row r="78" spans="1:16" ht="24">
      <c r="A78" s="90">
        <v>76</v>
      </c>
      <c r="B78" s="90" t="s">
        <v>143</v>
      </c>
      <c r="C78" s="90"/>
      <c r="D78" s="90">
        <v>5</v>
      </c>
      <c r="E78" s="90">
        <v>37</v>
      </c>
      <c r="F78" s="90" t="s">
        <v>75</v>
      </c>
      <c r="G78" s="90"/>
      <c r="H78" s="90"/>
      <c r="I78" s="90">
        <v>14200</v>
      </c>
      <c r="J78" s="90">
        <v>4000</v>
      </c>
      <c r="K78" s="90"/>
      <c r="L78" s="90"/>
      <c r="M78" s="90"/>
      <c r="N78" s="90"/>
      <c r="O78" s="90"/>
    </row>
    <row r="79" spans="1:16" ht="24">
      <c r="A79" s="90">
        <v>77</v>
      </c>
      <c r="B79" s="90" t="s">
        <v>144</v>
      </c>
      <c r="C79" s="90"/>
      <c r="D79" s="90" t="s">
        <v>130</v>
      </c>
      <c r="E79" s="90">
        <v>37</v>
      </c>
      <c r="F79" s="90" t="s">
        <v>75</v>
      </c>
      <c r="G79" s="90"/>
      <c r="H79" s="90"/>
      <c r="I79" s="90">
        <v>9300</v>
      </c>
      <c r="J79" s="90">
        <v>4000</v>
      </c>
      <c r="K79" s="90"/>
      <c r="L79" s="90"/>
      <c r="M79" s="90"/>
      <c r="N79" s="90"/>
      <c r="O79" s="90"/>
    </row>
    <row r="80" spans="1:16" ht="36">
      <c r="A80" s="128">
        <v>78</v>
      </c>
      <c r="B80" s="128" t="s">
        <v>145</v>
      </c>
      <c r="C80" s="128" t="s">
        <v>518</v>
      </c>
      <c r="D80" s="128" t="s">
        <v>130</v>
      </c>
      <c r="E80" s="128">
        <v>37</v>
      </c>
      <c r="F80" s="128" t="s">
        <v>75</v>
      </c>
      <c r="G80" s="128"/>
      <c r="H80" s="128"/>
      <c r="I80" s="128">
        <v>9300</v>
      </c>
      <c r="J80" s="128">
        <v>4000</v>
      </c>
      <c r="K80" s="128"/>
      <c r="L80" s="128"/>
      <c r="M80" s="128"/>
      <c r="N80" s="128"/>
      <c r="O80" s="128"/>
    </row>
    <row r="81" spans="1:16" ht="36">
      <c r="A81" s="89">
        <v>79</v>
      </c>
      <c r="B81" s="89" t="s">
        <v>146</v>
      </c>
      <c r="C81" s="89" t="s">
        <v>320</v>
      </c>
      <c r="D81" s="89">
        <v>7</v>
      </c>
      <c r="E81" s="89">
        <v>38</v>
      </c>
      <c r="F81" s="89" t="s">
        <v>75</v>
      </c>
      <c r="G81" s="89">
        <v>8107427707</v>
      </c>
      <c r="H81" s="89">
        <v>20000</v>
      </c>
      <c r="I81" s="89">
        <v>15900</v>
      </c>
      <c r="J81" s="89">
        <v>5000</v>
      </c>
      <c r="K81" s="89">
        <v>0</v>
      </c>
      <c r="L81" s="89"/>
      <c r="M81" s="89"/>
      <c r="N81" s="89"/>
      <c r="O81" s="89">
        <f>K81+L81-M81</f>
        <v>0</v>
      </c>
    </row>
    <row r="82" spans="1:16" ht="24">
      <c r="A82" s="90">
        <v>80</v>
      </c>
      <c r="B82" s="90" t="s">
        <v>147</v>
      </c>
      <c r="C82" s="90" t="s">
        <v>321</v>
      </c>
      <c r="D82" s="90">
        <v>7</v>
      </c>
      <c r="E82" s="90">
        <v>39</v>
      </c>
      <c r="F82" s="90" t="s">
        <v>75</v>
      </c>
      <c r="G82" s="90">
        <v>9983091995</v>
      </c>
      <c r="H82" s="90">
        <v>14000</v>
      </c>
      <c r="I82" s="90">
        <v>15900</v>
      </c>
      <c r="J82" s="90">
        <v>2700</v>
      </c>
      <c r="K82" s="90">
        <v>8000</v>
      </c>
      <c r="L82" s="90"/>
      <c r="M82" s="90"/>
      <c r="N82" s="90"/>
      <c r="O82" s="90">
        <f>K82+L82-M82</f>
        <v>8000</v>
      </c>
    </row>
    <row r="83" spans="1:16" ht="24">
      <c r="A83" s="89">
        <v>81</v>
      </c>
      <c r="B83" s="92" t="s">
        <v>148</v>
      </c>
      <c r="C83" s="89" t="s">
        <v>322</v>
      </c>
      <c r="D83" s="89">
        <v>7</v>
      </c>
      <c r="E83" s="89">
        <v>40</v>
      </c>
      <c r="F83" s="89" t="s">
        <v>75</v>
      </c>
      <c r="G83" s="89">
        <v>9983957393</v>
      </c>
      <c r="H83" s="89">
        <v>36500</v>
      </c>
      <c r="I83" s="89">
        <v>15900</v>
      </c>
      <c r="J83" s="89">
        <v>2700</v>
      </c>
      <c r="K83" s="89">
        <v>26000</v>
      </c>
      <c r="L83" s="89"/>
      <c r="M83" s="89">
        <v>26000</v>
      </c>
      <c r="N83" s="89"/>
      <c r="O83" s="89">
        <f>K83+L83-M83</f>
        <v>0</v>
      </c>
      <c r="P83" s="96" t="s">
        <v>596</v>
      </c>
    </row>
    <row r="84" spans="1:16" ht="24">
      <c r="A84" s="89">
        <v>82</v>
      </c>
      <c r="B84" s="92" t="s">
        <v>149</v>
      </c>
      <c r="C84" s="89"/>
      <c r="D84" s="89">
        <v>7</v>
      </c>
      <c r="E84" s="89">
        <v>40</v>
      </c>
      <c r="F84" s="89" t="s">
        <v>75</v>
      </c>
      <c r="G84" s="89"/>
      <c r="H84" s="89"/>
      <c r="I84" s="89">
        <v>15900</v>
      </c>
      <c r="J84" s="89">
        <v>2700</v>
      </c>
      <c r="K84" s="89">
        <v>0</v>
      </c>
      <c r="L84" s="89"/>
      <c r="M84" s="89"/>
      <c r="N84" s="89"/>
      <c r="O84" s="89"/>
    </row>
    <row r="85" spans="1:16">
      <c r="A85" s="89">
        <v>83</v>
      </c>
      <c r="B85" s="92" t="s">
        <v>150</v>
      </c>
      <c r="C85" s="89"/>
      <c r="D85" s="89">
        <v>5</v>
      </c>
      <c r="E85" s="89">
        <v>40</v>
      </c>
      <c r="F85" s="89" t="s">
        <v>75</v>
      </c>
      <c r="G85" s="89"/>
      <c r="H85" s="89"/>
      <c r="I85" s="89">
        <v>14200</v>
      </c>
      <c r="J85" s="89">
        <v>2700</v>
      </c>
      <c r="K85" s="89">
        <v>0</v>
      </c>
      <c r="L85" s="89"/>
      <c r="M85" s="89"/>
      <c r="N85" s="89"/>
      <c r="O85" s="89"/>
    </row>
    <row r="86" spans="1:16" ht="24">
      <c r="A86" s="89">
        <v>84</v>
      </c>
      <c r="B86" s="92" t="s">
        <v>151</v>
      </c>
      <c r="C86" s="89"/>
      <c r="D86" s="89">
        <v>1</v>
      </c>
      <c r="E86" s="89">
        <v>40</v>
      </c>
      <c r="F86" s="89" t="s">
        <v>75</v>
      </c>
      <c r="G86" s="89"/>
      <c r="H86" s="89"/>
      <c r="I86" s="89">
        <v>11500</v>
      </c>
      <c r="J86" s="89">
        <v>2700</v>
      </c>
      <c r="K86" s="89">
        <v>0</v>
      </c>
      <c r="L86" s="89"/>
      <c r="M86" s="89"/>
      <c r="N86" s="89"/>
      <c r="O86" s="89"/>
    </row>
    <row r="87" spans="1:16" ht="24">
      <c r="A87" s="90">
        <v>85</v>
      </c>
      <c r="B87" s="90" t="s">
        <v>152</v>
      </c>
      <c r="C87" s="90" t="s">
        <v>323</v>
      </c>
      <c r="D87" s="90">
        <v>7</v>
      </c>
      <c r="E87" s="90">
        <v>41</v>
      </c>
      <c r="F87" s="90" t="s">
        <v>75</v>
      </c>
      <c r="G87" s="90">
        <v>9460012025</v>
      </c>
      <c r="H87" s="90">
        <v>20000</v>
      </c>
      <c r="I87" s="90">
        <v>15900</v>
      </c>
      <c r="J87" s="90">
        <v>3500</v>
      </c>
      <c r="K87" s="90">
        <v>10000</v>
      </c>
      <c r="L87" s="90"/>
      <c r="M87" s="90">
        <v>5000</v>
      </c>
      <c r="N87" s="90"/>
      <c r="O87" s="90">
        <f>K87+L87-M87</f>
        <v>5000</v>
      </c>
      <c r="P87" s="96" t="s">
        <v>597</v>
      </c>
    </row>
    <row r="88" spans="1:16" ht="24">
      <c r="A88" s="90">
        <v>86</v>
      </c>
      <c r="B88" s="90" t="s">
        <v>153</v>
      </c>
      <c r="C88" s="90"/>
      <c r="D88" s="90">
        <v>5</v>
      </c>
      <c r="E88" s="90">
        <v>41</v>
      </c>
      <c r="F88" s="90" t="s">
        <v>75</v>
      </c>
      <c r="G88" s="90"/>
      <c r="H88" s="90"/>
      <c r="I88" s="90">
        <v>14200</v>
      </c>
      <c r="J88" s="90">
        <v>3500</v>
      </c>
      <c r="K88" s="90">
        <v>0</v>
      </c>
      <c r="L88" s="90"/>
      <c r="M88" s="90"/>
      <c r="N88" s="90"/>
      <c r="O88" s="90"/>
    </row>
    <row r="89" spans="1:16" ht="24">
      <c r="A89" s="89">
        <v>87</v>
      </c>
      <c r="B89" s="89" t="s">
        <v>154</v>
      </c>
      <c r="C89" s="89" t="s">
        <v>324</v>
      </c>
      <c r="D89" s="89">
        <v>7</v>
      </c>
      <c r="E89" s="89">
        <v>42</v>
      </c>
      <c r="F89" s="89" t="s">
        <v>75</v>
      </c>
      <c r="G89" s="89">
        <v>9929393894</v>
      </c>
      <c r="H89" s="89">
        <v>18000</v>
      </c>
      <c r="I89" s="89">
        <v>15900</v>
      </c>
      <c r="J89" s="89">
        <v>2000</v>
      </c>
      <c r="K89" s="89">
        <v>10200</v>
      </c>
      <c r="L89" s="89"/>
      <c r="M89" s="89"/>
      <c r="N89" s="89"/>
      <c r="O89" s="89">
        <f>K89+L89-M89</f>
        <v>10200</v>
      </c>
    </row>
    <row r="90" spans="1:16" ht="24">
      <c r="A90" s="89">
        <v>88</v>
      </c>
      <c r="B90" s="89" t="s">
        <v>155</v>
      </c>
      <c r="C90" s="89"/>
      <c r="D90" s="89">
        <v>3</v>
      </c>
      <c r="E90" s="89">
        <v>42</v>
      </c>
      <c r="F90" s="89" t="s">
        <v>75</v>
      </c>
      <c r="G90" s="89"/>
      <c r="H90" s="89"/>
      <c r="I90" s="89">
        <v>13300</v>
      </c>
      <c r="J90" s="89">
        <v>2000</v>
      </c>
      <c r="K90" s="89">
        <v>0</v>
      </c>
      <c r="L90" s="89"/>
      <c r="M90" s="89"/>
      <c r="N90" s="89"/>
      <c r="O90" s="89"/>
    </row>
    <row r="91" spans="1:16" ht="36">
      <c r="A91" s="90">
        <v>89</v>
      </c>
      <c r="B91" s="90" t="s">
        <v>156</v>
      </c>
      <c r="C91" s="90" t="s">
        <v>325</v>
      </c>
      <c r="D91" s="90">
        <v>6</v>
      </c>
      <c r="E91" s="90">
        <v>43</v>
      </c>
      <c r="F91" s="90" t="s">
        <v>75</v>
      </c>
      <c r="G91" s="90">
        <v>9828249151</v>
      </c>
      <c r="H91" s="90">
        <v>15000</v>
      </c>
      <c r="I91" s="90">
        <v>14700</v>
      </c>
      <c r="J91" s="90">
        <v>4200</v>
      </c>
      <c r="K91" s="90">
        <v>2000</v>
      </c>
      <c r="L91" s="90"/>
      <c r="M91" s="90"/>
      <c r="N91" s="90"/>
      <c r="O91" s="90">
        <f>K91+L91-M91</f>
        <v>2000</v>
      </c>
    </row>
    <row r="92" spans="1:16" ht="24">
      <c r="A92" s="89">
        <v>90</v>
      </c>
      <c r="B92" s="89" t="s">
        <v>157</v>
      </c>
      <c r="C92" s="89" t="s">
        <v>326</v>
      </c>
      <c r="D92" s="89">
        <v>6</v>
      </c>
      <c r="E92" s="89">
        <v>44</v>
      </c>
      <c r="F92" s="89" t="s">
        <v>75</v>
      </c>
      <c r="G92" s="89">
        <v>8690030561</v>
      </c>
      <c r="H92" s="89">
        <v>15000</v>
      </c>
      <c r="I92" s="89">
        <v>14700</v>
      </c>
      <c r="J92" s="89">
        <v>5000</v>
      </c>
      <c r="K92" s="89">
        <v>31000</v>
      </c>
      <c r="L92" s="89"/>
      <c r="M92" s="89"/>
      <c r="O92" s="89">
        <f>K92+L92-M92</f>
        <v>31000</v>
      </c>
    </row>
    <row r="93" spans="1:16" ht="36">
      <c r="A93" s="90">
        <v>91</v>
      </c>
      <c r="B93" s="90" t="s">
        <v>158</v>
      </c>
      <c r="C93" s="90" t="s">
        <v>456</v>
      </c>
      <c r="D93" s="90">
        <v>6</v>
      </c>
      <c r="E93" s="90">
        <v>45</v>
      </c>
      <c r="F93" s="90" t="s">
        <v>75</v>
      </c>
      <c r="G93" s="90" t="s">
        <v>455</v>
      </c>
      <c r="H93" s="90">
        <v>13000</v>
      </c>
      <c r="I93" s="90">
        <v>14700</v>
      </c>
      <c r="J93" s="90">
        <v>4700</v>
      </c>
      <c r="K93" s="90">
        <v>0</v>
      </c>
      <c r="L93" s="90"/>
      <c r="M93" s="90">
        <v>500</v>
      </c>
      <c r="N93" s="90"/>
      <c r="O93" s="90">
        <f>K93+L93-M93</f>
        <v>-500</v>
      </c>
    </row>
    <row r="94" spans="1:16" ht="24">
      <c r="A94" s="89">
        <v>92</v>
      </c>
      <c r="B94" s="89" t="s">
        <v>159</v>
      </c>
      <c r="C94" s="89" t="s">
        <v>327</v>
      </c>
      <c r="D94" s="89">
        <v>6</v>
      </c>
      <c r="E94" s="89">
        <v>46</v>
      </c>
      <c r="F94" s="89" t="s">
        <v>75</v>
      </c>
      <c r="G94" s="89">
        <v>9983359901</v>
      </c>
      <c r="H94" s="89">
        <v>15000</v>
      </c>
      <c r="I94" s="89">
        <v>14700</v>
      </c>
      <c r="J94" s="89">
        <v>0</v>
      </c>
      <c r="K94" s="89">
        <v>0</v>
      </c>
      <c r="L94" s="89"/>
      <c r="M94" s="89"/>
      <c r="N94" s="89"/>
      <c r="O94" s="89">
        <f>K94+L94-M94</f>
        <v>0</v>
      </c>
    </row>
    <row r="95" spans="1:16" ht="24">
      <c r="A95" s="89">
        <v>93</v>
      </c>
      <c r="B95" s="89" t="s">
        <v>160</v>
      </c>
      <c r="C95" s="89"/>
      <c r="D95" s="89">
        <v>4</v>
      </c>
      <c r="E95" s="89">
        <v>46</v>
      </c>
      <c r="F95" s="89" t="s">
        <v>75</v>
      </c>
      <c r="G95" s="89"/>
      <c r="H95" s="89"/>
      <c r="I95" s="89">
        <v>13900</v>
      </c>
      <c r="J95" s="89">
        <v>0</v>
      </c>
      <c r="K95" s="89">
        <v>0</v>
      </c>
      <c r="L95" s="89"/>
      <c r="M95" s="89"/>
      <c r="N95" s="89"/>
      <c r="O95" s="89"/>
    </row>
    <row r="96" spans="1:16" ht="36">
      <c r="A96" s="90">
        <v>94</v>
      </c>
      <c r="B96" s="90" t="s">
        <v>95</v>
      </c>
      <c r="C96" s="90" t="s">
        <v>328</v>
      </c>
      <c r="D96" s="90">
        <v>6</v>
      </c>
      <c r="E96" s="90">
        <v>47</v>
      </c>
      <c r="F96" s="90" t="s">
        <v>76</v>
      </c>
      <c r="G96" s="90">
        <v>9982889009</v>
      </c>
      <c r="H96" s="90">
        <v>5000</v>
      </c>
      <c r="I96" s="90">
        <v>0</v>
      </c>
      <c r="J96" s="90">
        <v>2500</v>
      </c>
      <c r="K96" s="90">
        <v>3000</v>
      </c>
      <c r="L96" s="90"/>
      <c r="M96" s="90">
        <v>2000</v>
      </c>
      <c r="N96" s="90"/>
      <c r="O96" s="90">
        <f>K96+L96-M96</f>
        <v>1000</v>
      </c>
      <c r="P96" s="99" t="s">
        <v>599</v>
      </c>
    </row>
    <row r="97" spans="1:16" ht="24">
      <c r="A97" s="90">
        <v>95</v>
      </c>
      <c r="B97" s="90" t="s">
        <v>161</v>
      </c>
      <c r="C97" s="90"/>
      <c r="D97" s="90">
        <v>4</v>
      </c>
      <c r="E97" s="90">
        <v>47</v>
      </c>
      <c r="F97" s="90" t="s">
        <v>76</v>
      </c>
      <c r="G97" s="90"/>
      <c r="H97" s="90"/>
      <c r="I97" s="90">
        <v>0</v>
      </c>
      <c r="J97" s="90">
        <v>2500</v>
      </c>
      <c r="K97" s="90">
        <v>0</v>
      </c>
      <c r="L97" s="90"/>
      <c r="M97" s="90"/>
      <c r="N97" s="90"/>
      <c r="O97" s="90"/>
      <c r="P97" s="99"/>
    </row>
    <row r="98" spans="1:16" ht="24">
      <c r="A98" s="89">
        <v>96</v>
      </c>
      <c r="B98" s="89" t="s">
        <v>162</v>
      </c>
      <c r="C98" s="89" t="s">
        <v>329</v>
      </c>
      <c r="D98" s="89">
        <v>6</v>
      </c>
      <c r="E98" s="89">
        <v>48</v>
      </c>
      <c r="F98" s="89" t="s">
        <v>75</v>
      </c>
      <c r="G98" s="89">
        <v>9929160186</v>
      </c>
      <c r="H98" s="89">
        <v>40000</v>
      </c>
      <c r="I98" s="89">
        <v>14700</v>
      </c>
      <c r="J98" s="89">
        <v>2400</v>
      </c>
      <c r="K98" s="89">
        <v>15000</v>
      </c>
      <c r="L98" s="89"/>
      <c r="M98" s="89">
        <v>11000</v>
      </c>
      <c r="N98" s="89"/>
      <c r="O98" s="89">
        <f>K98+L98-M98</f>
        <v>4000</v>
      </c>
      <c r="P98" s="96" t="s">
        <v>600</v>
      </c>
    </row>
    <row r="99" spans="1:16" ht="24">
      <c r="A99" s="89">
        <v>97</v>
      </c>
      <c r="B99" s="89" t="s">
        <v>163</v>
      </c>
      <c r="C99" s="89" t="s">
        <v>330</v>
      </c>
      <c r="D99" s="89">
        <v>5</v>
      </c>
      <c r="E99" s="89">
        <v>48</v>
      </c>
      <c r="F99" s="89" t="s">
        <v>75</v>
      </c>
      <c r="G99" s="89"/>
      <c r="H99" s="89"/>
      <c r="I99" s="89">
        <v>14200</v>
      </c>
      <c r="J99" s="89">
        <v>2400</v>
      </c>
      <c r="K99" s="89">
        <v>0</v>
      </c>
      <c r="L99" s="89"/>
      <c r="M99" s="89"/>
      <c r="N99" s="89"/>
      <c r="O99" s="89"/>
    </row>
    <row r="100" spans="1:16" ht="24">
      <c r="A100" s="89">
        <v>98</v>
      </c>
      <c r="B100" s="89" t="s">
        <v>164</v>
      </c>
      <c r="C100" s="89"/>
      <c r="D100" s="89">
        <v>2</v>
      </c>
      <c r="E100" s="89">
        <v>48</v>
      </c>
      <c r="F100" s="89" t="s">
        <v>75</v>
      </c>
      <c r="G100" s="89"/>
      <c r="H100" s="89"/>
      <c r="I100" s="89">
        <v>12000</v>
      </c>
      <c r="J100" s="89">
        <v>2400</v>
      </c>
      <c r="K100" s="89">
        <v>0</v>
      </c>
      <c r="L100" s="89"/>
      <c r="M100" s="89"/>
      <c r="N100" s="89"/>
      <c r="O100" s="89"/>
    </row>
    <row r="101" spans="1:16" ht="24">
      <c r="A101" s="89">
        <v>99</v>
      </c>
      <c r="B101" s="89" t="s">
        <v>165</v>
      </c>
      <c r="C101" s="89"/>
      <c r="D101" s="89">
        <v>4</v>
      </c>
      <c r="E101" s="89">
        <v>48</v>
      </c>
      <c r="F101" s="89" t="s">
        <v>75</v>
      </c>
      <c r="G101" s="89"/>
      <c r="H101" s="89"/>
      <c r="I101" s="89">
        <v>13900</v>
      </c>
      <c r="J101" s="89">
        <v>2400</v>
      </c>
      <c r="K101" s="89">
        <v>0</v>
      </c>
      <c r="L101" s="89"/>
      <c r="M101" s="89"/>
      <c r="N101" s="89"/>
      <c r="O101" s="89"/>
    </row>
    <row r="102" spans="1:16" ht="24">
      <c r="A102" s="90">
        <v>100</v>
      </c>
      <c r="B102" s="90" t="s">
        <v>166</v>
      </c>
      <c r="C102" s="90" t="s">
        <v>331</v>
      </c>
      <c r="D102" s="90">
        <v>6</v>
      </c>
      <c r="E102" s="90">
        <v>49</v>
      </c>
      <c r="F102" s="90" t="s">
        <v>75</v>
      </c>
      <c r="G102" s="90">
        <v>8107448001</v>
      </c>
      <c r="H102" s="90">
        <v>11000</v>
      </c>
      <c r="I102" s="90">
        <v>14700</v>
      </c>
      <c r="J102" s="90">
        <v>5000</v>
      </c>
      <c r="K102" s="90">
        <v>2000</v>
      </c>
      <c r="L102" s="90"/>
      <c r="M102" s="90"/>
      <c r="N102" s="90"/>
      <c r="O102" s="90">
        <f>K102+L102-M102</f>
        <v>2000</v>
      </c>
    </row>
    <row r="103" spans="1:16" ht="24">
      <c r="A103" s="89">
        <v>101</v>
      </c>
      <c r="B103" s="89" t="s">
        <v>167</v>
      </c>
      <c r="C103" s="89" t="s">
        <v>332</v>
      </c>
      <c r="D103" s="89">
        <v>6</v>
      </c>
      <c r="E103" s="89">
        <v>50</v>
      </c>
      <c r="F103" s="89" t="s">
        <v>75</v>
      </c>
      <c r="G103" s="89">
        <v>9928048821</v>
      </c>
      <c r="H103" s="89">
        <v>25000</v>
      </c>
      <c r="I103" s="89">
        <v>14700</v>
      </c>
      <c r="J103" s="89">
        <v>5200</v>
      </c>
      <c r="K103" s="89">
        <v>10000</v>
      </c>
      <c r="L103" s="89"/>
      <c r="M103" s="89">
        <v>2000</v>
      </c>
      <c r="N103" s="89"/>
      <c r="O103" s="89"/>
      <c r="P103" s="96" t="s">
        <v>601</v>
      </c>
    </row>
    <row r="104" spans="1:16" ht="24">
      <c r="A104" s="89">
        <v>102</v>
      </c>
      <c r="B104" s="89" t="s">
        <v>168</v>
      </c>
      <c r="C104" s="89"/>
      <c r="D104" s="89">
        <v>6</v>
      </c>
      <c r="E104" s="89">
        <v>50</v>
      </c>
      <c r="F104" s="89" t="s">
        <v>75</v>
      </c>
      <c r="G104" s="89"/>
      <c r="H104" s="89"/>
      <c r="I104" s="89">
        <v>14700</v>
      </c>
      <c r="J104" s="89">
        <v>5200</v>
      </c>
      <c r="K104" s="89"/>
      <c r="L104" s="89"/>
      <c r="M104" s="89"/>
      <c r="N104" s="89"/>
      <c r="O104" s="89"/>
    </row>
    <row r="105" spans="1:16" ht="24">
      <c r="A105" s="89">
        <v>103</v>
      </c>
      <c r="B105" s="89" t="s">
        <v>170</v>
      </c>
      <c r="C105" s="89"/>
      <c r="D105" s="89" t="s">
        <v>130</v>
      </c>
      <c r="E105" s="89">
        <v>50</v>
      </c>
      <c r="F105" s="89" t="s">
        <v>75</v>
      </c>
      <c r="G105" s="89"/>
      <c r="H105" s="89"/>
      <c r="I105" s="89">
        <v>9300</v>
      </c>
      <c r="J105" s="89">
        <v>5200</v>
      </c>
      <c r="K105" s="89"/>
      <c r="L105" s="89"/>
      <c r="M105" s="89"/>
      <c r="N105" s="89"/>
      <c r="O105" s="89"/>
    </row>
    <row r="106" spans="1:16" ht="24">
      <c r="A106" s="89">
        <v>104</v>
      </c>
      <c r="B106" s="89" t="s">
        <v>171</v>
      </c>
      <c r="C106" s="89"/>
      <c r="D106" s="89" t="s">
        <v>130</v>
      </c>
      <c r="E106" s="89">
        <v>50</v>
      </c>
      <c r="F106" s="89" t="s">
        <v>75</v>
      </c>
      <c r="G106" s="89"/>
      <c r="H106" s="89"/>
      <c r="I106" s="89">
        <v>9300</v>
      </c>
      <c r="J106" s="89">
        <v>5200</v>
      </c>
      <c r="K106" s="89"/>
      <c r="L106" s="89"/>
      <c r="M106" s="89"/>
      <c r="N106" s="89"/>
      <c r="O106" s="89"/>
    </row>
    <row r="107" spans="1:16" ht="36">
      <c r="A107" s="90">
        <v>105</v>
      </c>
      <c r="B107" s="90" t="s">
        <v>169</v>
      </c>
      <c r="C107" s="90" t="s">
        <v>333</v>
      </c>
      <c r="D107" s="90">
        <v>6</v>
      </c>
      <c r="E107" s="90">
        <v>51</v>
      </c>
      <c r="F107" s="90" t="s">
        <v>75</v>
      </c>
      <c r="G107" s="90">
        <v>9929050231</v>
      </c>
      <c r="H107" s="90">
        <v>25000</v>
      </c>
      <c r="I107" s="90">
        <v>14700</v>
      </c>
      <c r="J107" s="90">
        <v>2800</v>
      </c>
      <c r="K107" s="90">
        <v>0</v>
      </c>
      <c r="L107" s="90"/>
      <c r="M107" s="90"/>
      <c r="N107" s="90"/>
      <c r="O107" s="90">
        <f>K107+L107-M107</f>
        <v>0</v>
      </c>
    </row>
    <row r="108" spans="1:16" ht="24">
      <c r="A108" s="90">
        <v>106</v>
      </c>
      <c r="B108" s="90" t="s">
        <v>172</v>
      </c>
      <c r="C108" s="90"/>
      <c r="D108" s="90">
        <v>3</v>
      </c>
      <c r="E108" s="90">
        <v>51</v>
      </c>
      <c r="F108" s="90" t="s">
        <v>75</v>
      </c>
      <c r="G108" s="90"/>
      <c r="H108" s="90"/>
      <c r="I108" s="90">
        <v>13300</v>
      </c>
      <c r="J108" s="90">
        <v>2800</v>
      </c>
      <c r="K108" s="90"/>
      <c r="L108" s="90"/>
      <c r="M108" s="90"/>
      <c r="N108" s="90"/>
      <c r="O108" s="90"/>
    </row>
    <row r="109" spans="1:16" ht="24">
      <c r="A109" s="90">
        <v>107</v>
      </c>
      <c r="B109" s="90" t="s">
        <v>173</v>
      </c>
      <c r="C109" s="90"/>
      <c r="D109" s="90">
        <v>1</v>
      </c>
      <c r="E109" s="90">
        <v>51</v>
      </c>
      <c r="F109" s="90" t="s">
        <v>75</v>
      </c>
      <c r="G109" s="90"/>
      <c r="H109" s="90"/>
      <c r="I109" s="90">
        <v>11500</v>
      </c>
      <c r="J109" s="90">
        <v>2800</v>
      </c>
      <c r="K109" s="90"/>
      <c r="L109" s="90"/>
      <c r="M109" s="90"/>
      <c r="N109" s="90"/>
      <c r="O109" s="90"/>
    </row>
    <row r="110" spans="1:16" ht="36">
      <c r="A110" s="90"/>
      <c r="B110" s="90" t="s">
        <v>529</v>
      </c>
      <c r="C110" s="90" t="s">
        <v>528</v>
      </c>
      <c r="D110" s="90" t="s">
        <v>130</v>
      </c>
      <c r="E110" s="90"/>
      <c r="F110" s="90" t="s">
        <v>75</v>
      </c>
      <c r="G110" s="90"/>
      <c r="H110" s="90"/>
      <c r="I110" s="90">
        <v>9300</v>
      </c>
      <c r="J110" s="90">
        <v>2800</v>
      </c>
      <c r="K110" s="90">
        <v>0</v>
      </c>
      <c r="L110" s="90"/>
      <c r="M110" s="90"/>
      <c r="N110" s="90"/>
      <c r="O110" s="90"/>
    </row>
    <row r="111" spans="1:16" ht="48">
      <c r="A111" s="89">
        <v>108</v>
      </c>
      <c r="B111" s="92" t="s">
        <v>174</v>
      </c>
      <c r="C111" s="92" t="s">
        <v>334</v>
      </c>
      <c r="D111" s="89">
        <v>6</v>
      </c>
      <c r="E111" s="89">
        <v>52</v>
      </c>
      <c r="F111" s="89" t="s">
        <v>75</v>
      </c>
      <c r="G111" s="89">
        <v>9549142881</v>
      </c>
      <c r="H111" s="89">
        <v>31000</v>
      </c>
      <c r="I111" s="89">
        <v>14700</v>
      </c>
      <c r="J111" s="89">
        <v>2000</v>
      </c>
      <c r="K111" s="89">
        <v>10000</v>
      </c>
      <c r="L111" s="89"/>
      <c r="M111" s="89"/>
      <c r="N111" s="89"/>
      <c r="O111" s="89">
        <f>K111+L111-M111</f>
        <v>10000</v>
      </c>
    </row>
    <row r="112" spans="1:16" ht="24">
      <c r="A112" s="89">
        <v>109</v>
      </c>
      <c r="B112" s="89" t="s">
        <v>175</v>
      </c>
      <c r="C112" s="89"/>
      <c r="D112" s="89">
        <v>4</v>
      </c>
      <c r="E112" s="89">
        <v>52</v>
      </c>
      <c r="F112" s="89" t="s">
        <v>75</v>
      </c>
      <c r="G112" s="89"/>
      <c r="H112" s="89"/>
      <c r="I112" s="89">
        <v>13900</v>
      </c>
      <c r="J112" s="89">
        <v>2000</v>
      </c>
      <c r="K112" s="89"/>
      <c r="L112" s="89"/>
      <c r="M112" s="89"/>
      <c r="N112" s="89"/>
      <c r="O112" s="89"/>
    </row>
    <row r="113" spans="1:15">
      <c r="A113" s="89">
        <v>111</v>
      </c>
      <c r="B113" s="89" t="s">
        <v>177</v>
      </c>
      <c r="C113" s="89"/>
      <c r="D113" s="89" t="s">
        <v>130</v>
      </c>
      <c r="E113" s="89">
        <v>52</v>
      </c>
      <c r="F113" s="89" t="s">
        <v>75</v>
      </c>
      <c r="G113" s="89"/>
      <c r="H113" s="89"/>
      <c r="I113" s="89">
        <v>9300</v>
      </c>
      <c r="J113" s="89">
        <v>2000</v>
      </c>
      <c r="K113" s="89"/>
      <c r="L113" s="89"/>
      <c r="M113" s="89"/>
      <c r="N113" s="89"/>
      <c r="O113" s="89"/>
    </row>
    <row r="114" spans="1:15" ht="24">
      <c r="A114" s="89">
        <v>112</v>
      </c>
      <c r="B114" s="89" t="s">
        <v>178</v>
      </c>
      <c r="C114" s="89" t="s">
        <v>125</v>
      </c>
      <c r="D114" s="89" t="s">
        <v>130</v>
      </c>
      <c r="E114" s="89">
        <v>52</v>
      </c>
      <c r="F114" s="89" t="s">
        <v>75</v>
      </c>
      <c r="G114" s="89"/>
      <c r="H114" s="89"/>
      <c r="I114" s="89">
        <v>9300</v>
      </c>
      <c r="J114" s="89">
        <v>2000</v>
      </c>
      <c r="K114" s="89"/>
      <c r="L114" s="89"/>
      <c r="M114" s="89"/>
      <c r="N114" s="89"/>
      <c r="O114" s="89"/>
    </row>
    <row r="115" spans="1:15" ht="24">
      <c r="A115" s="89">
        <v>110</v>
      </c>
      <c r="B115" s="89" t="s">
        <v>176</v>
      </c>
      <c r="C115" s="89"/>
      <c r="D115" s="89">
        <v>1</v>
      </c>
      <c r="E115" s="89">
        <v>52</v>
      </c>
      <c r="F115" s="89" t="s">
        <v>75</v>
      </c>
      <c r="G115" s="89"/>
      <c r="H115" s="89"/>
      <c r="I115" s="89">
        <v>11500</v>
      </c>
      <c r="J115" s="89">
        <v>2000</v>
      </c>
      <c r="K115" s="89"/>
      <c r="L115" s="89"/>
      <c r="M115" s="89"/>
      <c r="N115" s="89"/>
      <c r="O115" s="89"/>
    </row>
    <row r="116" spans="1:15" ht="24">
      <c r="A116" s="90">
        <v>113</v>
      </c>
      <c r="B116" s="90" t="s">
        <v>179</v>
      </c>
      <c r="C116" s="90" t="s">
        <v>335</v>
      </c>
      <c r="D116" s="90">
        <v>6</v>
      </c>
      <c r="E116" s="90">
        <v>53</v>
      </c>
      <c r="F116" s="90" t="s">
        <v>75</v>
      </c>
      <c r="G116" s="90">
        <v>8426969905</v>
      </c>
      <c r="H116" s="90">
        <v>14000</v>
      </c>
      <c r="I116" s="90">
        <v>14700</v>
      </c>
      <c r="J116" s="90">
        <v>4200</v>
      </c>
      <c r="K116" s="90">
        <v>2000</v>
      </c>
      <c r="L116" s="90"/>
      <c r="M116" s="90"/>
      <c r="N116" s="90"/>
      <c r="O116" s="90">
        <f t="shared" ref="O116:O121" si="1">K116+L116-M116</f>
        <v>2000</v>
      </c>
    </row>
    <row r="117" spans="1:15" ht="24">
      <c r="A117" s="89">
        <v>114</v>
      </c>
      <c r="B117" s="89" t="s">
        <v>180</v>
      </c>
      <c r="C117" s="89" t="s">
        <v>336</v>
      </c>
      <c r="D117" s="89">
        <v>6</v>
      </c>
      <c r="E117" s="89">
        <v>54</v>
      </c>
      <c r="F117" s="89" t="s">
        <v>75</v>
      </c>
      <c r="G117" s="89">
        <v>7690032086</v>
      </c>
      <c r="H117" s="89">
        <v>10000</v>
      </c>
      <c r="I117" s="89">
        <v>14700</v>
      </c>
      <c r="J117" s="89">
        <v>0</v>
      </c>
      <c r="K117" s="89">
        <v>3000</v>
      </c>
      <c r="L117" s="89"/>
      <c r="M117" s="89"/>
      <c r="N117" s="89"/>
      <c r="O117" s="89">
        <f t="shared" si="1"/>
        <v>3000</v>
      </c>
    </row>
    <row r="118" spans="1:15" s="124" customFormat="1" ht="60">
      <c r="A118" s="127">
        <v>115</v>
      </c>
      <c r="B118" s="127" t="s">
        <v>181</v>
      </c>
      <c r="C118" s="127" t="s">
        <v>337</v>
      </c>
      <c r="D118" s="127">
        <v>6</v>
      </c>
      <c r="E118" s="127">
        <v>55</v>
      </c>
      <c r="F118" s="127" t="s">
        <v>75</v>
      </c>
      <c r="G118" s="127">
        <v>9549114451</v>
      </c>
      <c r="H118" s="127">
        <v>9000</v>
      </c>
      <c r="I118" s="127">
        <v>14700</v>
      </c>
      <c r="J118" s="127">
        <v>2500</v>
      </c>
      <c r="K118" s="127">
        <v>3000</v>
      </c>
      <c r="L118" s="127"/>
      <c r="M118" s="127"/>
      <c r="N118" s="127"/>
      <c r="O118" s="127">
        <f t="shared" si="1"/>
        <v>3000</v>
      </c>
    </row>
    <row r="119" spans="1:15" ht="36">
      <c r="A119" s="89">
        <v>116</v>
      </c>
      <c r="B119" s="89" t="s">
        <v>182</v>
      </c>
      <c r="C119" s="89" t="s">
        <v>338</v>
      </c>
      <c r="D119" s="89">
        <v>6</v>
      </c>
      <c r="E119" s="89">
        <v>56</v>
      </c>
      <c r="F119" s="89" t="s">
        <v>75</v>
      </c>
      <c r="G119" s="89">
        <v>9929219398</v>
      </c>
      <c r="H119" s="89">
        <v>15000</v>
      </c>
      <c r="I119" s="89">
        <v>14700</v>
      </c>
      <c r="J119" s="89">
        <v>5000</v>
      </c>
      <c r="K119" s="89">
        <v>0</v>
      </c>
      <c r="L119" s="89"/>
      <c r="M119" s="89"/>
      <c r="N119" s="89"/>
      <c r="O119" s="89">
        <f t="shared" si="1"/>
        <v>0</v>
      </c>
    </row>
    <row r="120" spans="1:15" ht="24">
      <c r="A120" s="90">
        <v>117</v>
      </c>
      <c r="B120" s="90" t="s">
        <v>183</v>
      </c>
      <c r="C120" s="90" t="s">
        <v>339</v>
      </c>
      <c r="D120" s="90">
        <v>6</v>
      </c>
      <c r="E120" s="90">
        <v>57</v>
      </c>
      <c r="F120" s="90" t="s">
        <v>75</v>
      </c>
      <c r="G120" s="90">
        <v>8058762864</v>
      </c>
      <c r="H120" s="90">
        <v>8500</v>
      </c>
      <c r="I120" s="90">
        <v>14700</v>
      </c>
      <c r="J120" s="90">
        <v>2500</v>
      </c>
      <c r="K120" s="90">
        <v>0</v>
      </c>
      <c r="L120" s="90"/>
      <c r="M120" s="90"/>
      <c r="N120" s="90"/>
      <c r="O120" s="90">
        <f t="shared" si="1"/>
        <v>0</v>
      </c>
    </row>
    <row r="121" spans="1:15" ht="24">
      <c r="A121" s="89">
        <v>118</v>
      </c>
      <c r="B121" s="89" t="s">
        <v>184</v>
      </c>
      <c r="C121" s="89" t="s">
        <v>340</v>
      </c>
      <c r="D121" s="89">
        <v>5</v>
      </c>
      <c r="E121" s="89">
        <v>58</v>
      </c>
      <c r="F121" s="89" t="s">
        <v>75</v>
      </c>
      <c r="G121" s="89">
        <v>9982449655</v>
      </c>
      <c r="H121" s="89">
        <v>20000</v>
      </c>
      <c r="I121" s="89">
        <v>14200</v>
      </c>
      <c r="J121" s="89">
        <v>4700</v>
      </c>
      <c r="K121" s="89">
        <v>0</v>
      </c>
      <c r="L121" s="89"/>
      <c r="M121" s="89"/>
      <c r="N121" s="89"/>
      <c r="O121" s="89">
        <f t="shared" si="1"/>
        <v>0</v>
      </c>
    </row>
    <row r="122" spans="1:15">
      <c r="A122" s="89">
        <v>119</v>
      </c>
      <c r="B122" s="89" t="s">
        <v>185</v>
      </c>
      <c r="C122" s="89"/>
      <c r="D122" s="89">
        <v>2</v>
      </c>
      <c r="E122" s="89">
        <v>58</v>
      </c>
      <c r="F122" s="89" t="s">
        <v>75</v>
      </c>
      <c r="G122" s="89"/>
      <c r="H122" s="89"/>
      <c r="I122" s="89">
        <v>12000</v>
      </c>
      <c r="J122" s="89">
        <v>4700</v>
      </c>
      <c r="K122" s="89">
        <v>0</v>
      </c>
      <c r="L122" s="89"/>
      <c r="M122" s="89"/>
      <c r="N122" s="89"/>
      <c r="O122" s="89"/>
    </row>
    <row r="123" spans="1:15" ht="24">
      <c r="A123" s="89">
        <v>120</v>
      </c>
      <c r="B123" s="89" t="s">
        <v>186</v>
      </c>
      <c r="C123" s="89"/>
      <c r="D123" s="89" t="s">
        <v>102</v>
      </c>
      <c r="E123" s="89">
        <v>58</v>
      </c>
      <c r="F123" s="89" t="s">
        <v>75</v>
      </c>
      <c r="G123" s="89"/>
      <c r="H123" s="89"/>
      <c r="I123" s="89">
        <v>9800</v>
      </c>
      <c r="J123" s="89">
        <v>4700</v>
      </c>
      <c r="K123" s="89">
        <v>0</v>
      </c>
      <c r="L123" s="89"/>
      <c r="M123" s="89"/>
      <c r="N123" s="89"/>
      <c r="O123" s="89"/>
    </row>
    <row r="124" spans="1:15" ht="24">
      <c r="A124" s="90">
        <v>121</v>
      </c>
      <c r="B124" s="90" t="s">
        <v>187</v>
      </c>
      <c r="C124" s="90" t="s">
        <v>341</v>
      </c>
      <c r="D124" s="90">
        <v>5</v>
      </c>
      <c r="E124" s="90">
        <v>59</v>
      </c>
      <c r="F124" s="90" t="s">
        <v>75</v>
      </c>
      <c r="G124" s="90">
        <v>9828565028</v>
      </c>
      <c r="H124" s="90">
        <v>25000</v>
      </c>
      <c r="I124" s="90">
        <v>14200</v>
      </c>
      <c r="J124" s="90">
        <v>3000</v>
      </c>
      <c r="K124" s="90">
        <v>4000</v>
      </c>
      <c r="L124" s="90"/>
      <c r="M124" s="90"/>
      <c r="N124" s="90"/>
      <c r="O124" s="90">
        <f>K124+L124-M124</f>
        <v>4000</v>
      </c>
    </row>
    <row r="125" spans="1:15" ht="24">
      <c r="A125" s="90">
        <v>122</v>
      </c>
      <c r="B125" s="90" t="s">
        <v>188</v>
      </c>
      <c r="C125" s="90"/>
      <c r="D125" s="90">
        <v>4</v>
      </c>
      <c r="E125" s="90">
        <v>59</v>
      </c>
      <c r="F125" s="90" t="s">
        <v>75</v>
      </c>
      <c r="G125" s="90"/>
      <c r="H125" s="90"/>
      <c r="I125" s="90">
        <v>13900</v>
      </c>
      <c r="J125" s="90">
        <v>3000</v>
      </c>
      <c r="K125" s="90"/>
      <c r="L125" s="90"/>
      <c r="M125" s="90"/>
      <c r="N125" s="90"/>
      <c r="O125" s="90"/>
    </row>
    <row r="126" spans="1:15" ht="36">
      <c r="A126" s="89">
        <v>123</v>
      </c>
      <c r="B126" s="89" t="s">
        <v>189</v>
      </c>
      <c r="C126" s="89" t="s">
        <v>342</v>
      </c>
      <c r="D126" s="89">
        <v>5</v>
      </c>
      <c r="E126" s="89">
        <v>60</v>
      </c>
      <c r="F126" s="89" t="s">
        <v>75</v>
      </c>
      <c r="G126" s="89">
        <v>8696025117</v>
      </c>
      <c r="H126" s="89">
        <v>20000</v>
      </c>
      <c r="I126" s="89">
        <v>14200</v>
      </c>
      <c r="J126" s="89">
        <v>3000</v>
      </c>
      <c r="K126" s="89">
        <v>4000</v>
      </c>
      <c r="L126" s="89"/>
      <c r="M126" s="89"/>
      <c r="N126" s="89"/>
      <c r="O126" s="89">
        <f>K126+L126-M126</f>
        <v>4000</v>
      </c>
    </row>
    <row r="127" spans="1:15" ht="24">
      <c r="A127" s="89">
        <v>124</v>
      </c>
      <c r="B127" s="89" t="s">
        <v>190</v>
      </c>
      <c r="C127" s="89"/>
      <c r="D127" s="89">
        <v>4</v>
      </c>
      <c r="E127" s="89">
        <v>60</v>
      </c>
      <c r="F127" s="89" t="s">
        <v>76</v>
      </c>
      <c r="G127" s="89"/>
      <c r="H127" s="89"/>
      <c r="I127" s="89">
        <v>0</v>
      </c>
      <c r="J127" s="89">
        <v>3000</v>
      </c>
      <c r="K127" s="89"/>
      <c r="L127" s="89"/>
      <c r="M127" s="89"/>
      <c r="N127" s="89"/>
      <c r="O127" s="89"/>
    </row>
    <row r="128" spans="1:15" ht="24">
      <c r="A128" s="89">
        <v>125</v>
      </c>
      <c r="B128" s="89" t="s">
        <v>191</v>
      </c>
      <c r="C128" s="89"/>
      <c r="D128" s="89" t="s">
        <v>102</v>
      </c>
      <c r="E128" s="89">
        <v>60</v>
      </c>
      <c r="F128" s="89" t="s">
        <v>76</v>
      </c>
      <c r="G128" s="89"/>
      <c r="H128" s="89"/>
      <c r="I128" s="89">
        <v>0</v>
      </c>
      <c r="J128" s="89">
        <v>3000</v>
      </c>
      <c r="K128" s="89"/>
      <c r="L128" s="89"/>
      <c r="M128" s="89"/>
      <c r="N128" s="89"/>
      <c r="O128" s="89"/>
    </row>
    <row r="129" spans="1:16" ht="36">
      <c r="A129" s="90">
        <v>126</v>
      </c>
      <c r="B129" s="90" t="s">
        <v>192</v>
      </c>
      <c r="C129" s="90" t="s">
        <v>343</v>
      </c>
      <c r="D129" s="90">
        <v>5</v>
      </c>
      <c r="E129" s="90">
        <v>61</v>
      </c>
      <c r="F129" s="90" t="s">
        <v>75</v>
      </c>
      <c r="G129" s="90">
        <v>9828998919</v>
      </c>
      <c r="H129" s="90">
        <v>25000</v>
      </c>
      <c r="I129" s="90">
        <v>14200</v>
      </c>
      <c r="J129" s="90">
        <v>3000</v>
      </c>
      <c r="K129" s="90">
        <v>5000</v>
      </c>
      <c r="L129" s="90"/>
      <c r="M129" s="90"/>
      <c r="N129" s="90"/>
      <c r="O129" s="90">
        <f>K129+L129-M129</f>
        <v>5000</v>
      </c>
    </row>
    <row r="130" spans="1:16" ht="24">
      <c r="A130" s="90">
        <v>127</v>
      </c>
      <c r="B130" s="90" t="s">
        <v>193</v>
      </c>
      <c r="C130" s="90"/>
      <c r="D130" s="90">
        <v>3</v>
      </c>
      <c r="E130" s="90">
        <v>61</v>
      </c>
      <c r="F130" s="90" t="s">
        <v>75</v>
      </c>
      <c r="G130" s="90"/>
      <c r="H130" s="90"/>
      <c r="I130" s="90">
        <v>13300</v>
      </c>
      <c r="J130" s="90">
        <v>3000</v>
      </c>
      <c r="K130" s="90">
        <v>0</v>
      </c>
      <c r="L130" s="90"/>
      <c r="M130" s="90"/>
      <c r="N130" s="90"/>
      <c r="O130" s="90"/>
    </row>
    <row r="131" spans="1:16" ht="24">
      <c r="A131" s="89">
        <v>128</v>
      </c>
      <c r="B131" s="89" t="s">
        <v>194</v>
      </c>
      <c r="C131" s="89"/>
      <c r="D131" s="89">
        <v>5</v>
      </c>
      <c r="E131" s="89">
        <v>62</v>
      </c>
      <c r="F131" s="89" t="s">
        <v>75</v>
      </c>
      <c r="G131" s="89"/>
      <c r="H131" s="89">
        <v>24000</v>
      </c>
      <c r="I131" s="89">
        <v>14200</v>
      </c>
      <c r="J131" s="89">
        <v>5000</v>
      </c>
      <c r="K131" s="89">
        <v>0</v>
      </c>
      <c r="L131" s="89"/>
      <c r="M131" s="89"/>
      <c r="N131" s="89"/>
      <c r="O131" s="89">
        <f>K131+L131-M131</f>
        <v>0</v>
      </c>
    </row>
    <row r="132" spans="1:16" ht="24">
      <c r="A132" s="89">
        <v>129</v>
      </c>
      <c r="B132" s="89" t="s">
        <v>171</v>
      </c>
      <c r="C132" s="89"/>
      <c r="D132" s="89">
        <v>1</v>
      </c>
      <c r="E132" s="89">
        <v>62</v>
      </c>
      <c r="F132" s="89" t="s">
        <v>75</v>
      </c>
      <c r="G132" s="89"/>
      <c r="H132" s="89"/>
      <c r="I132" s="89">
        <v>11500</v>
      </c>
      <c r="J132" s="89">
        <v>5000</v>
      </c>
      <c r="K132" s="89">
        <v>0</v>
      </c>
      <c r="L132" s="89"/>
      <c r="M132" s="89"/>
      <c r="N132" s="89"/>
      <c r="O132" s="89"/>
    </row>
    <row r="133" spans="1:16" ht="24">
      <c r="A133" s="90">
        <v>130</v>
      </c>
      <c r="B133" s="90" t="s">
        <v>195</v>
      </c>
      <c r="C133" s="90" t="s">
        <v>344</v>
      </c>
      <c r="D133" s="90">
        <v>5</v>
      </c>
      <c r="E133" s="90">
        <v>63</v>
      </c>
      <c r="F133" s="90" t="s">
        <v>75</v>
      </c>
      <c r="G133" s="90">
        <v>9983295824</v>
      </c>
      <c r="H133" s="90">
        <v>9000</v>
      </c>
      <c r="I133" s="90">
        <v>14200</v>
      </c>
      <c r="J133" s="90">
        <v>2500</v>
      </c>
      <c r="K133" s="90">
        <v>0</v>
      </c>
      <c r="L133" s="90"/>
      <c r="M133" s="90"/>
      <c r="N133" s="90"/>
      <c r="O133" s="90">
        <f>K133+L133-M133</f>
        <v>0</v>
      </c>
    </row>
    <row r="134" spans="1:16" ht="24">
      <c r="A134" s="89">
        <v>131</v>
      </c>
      <c r="B134" s="89" t="s">
        <v>196</v>
      </c>
      <c r="C134" s="89" t="s">
        <v>345</v>
      </c>
      <c r="D134" s="89">
        <v>5</v>
      </c>
      <c r="E134" s="89">
        <v>64</v>
      </c>
      <c r="F134" s="89" t="s">
        <v>75</v>
      </c>
      <c r="G134" s="89">
        <v>9785757003</v>
      </c>
      <c r="H134" s="89">
        <v>39000</v>
      </c>
      <c r="I134" s="89">
        <v>14200</v>
      </c>
      <c r="J134" s="89">
        <v>2400</v>
      </c>
      <c r="K134" s="89">
        <v>4000</v>
      </c>
      <c r="L134" s="89"/>
      <c r="M134" s="89">
        <v>4000</v>
      </c>
      <c r="N134" s="89"/>
      <c r="O134" s="89">
        <f>K134+L134-M134</f>
        <v>0</v>
      </c>
      <c r="P134" s="96" t="s">
        <v>602</v>
      </c>
    </row>
    <row r="135" spans="1:16" ht="24">
      <c r="A135" s="89">
        <v>132</v>
      </c>
      <c r="B135" s="89" t="s">
        <v>197</v>
      </c>
      <c r="C135" s="89"/>
      <c r="D135" s="89">
        <v>2</v>
      </c>
      <c r="E135" s="89">
        <v>64</v>
      </c>
      <c r="F135" s="89" t="s">
        <v>75</v>
      </c>
      <c r="G135" s="89"/>
      <c r="H135" s="89"/>
      <c r="I135" s="89">
        <v>12000</v>
      </c>
      <c r="J135" s="89">
        <v>2400</v>
      </c>
      <c r="K135" s="89"/>
      <c r="L135" s="89"/>
      <c r="M135" s="89"/>
      <c r="N135" s="89"/>
      <c r="O135" s="89"/>
      <c r="P135" s="96" t="s">
        <v>602</v>
      </c>
    </row>
    <row r="136" spans="1:16" ht="24">
      <c r="A136" s="89">
        <v>133</v>
      </c>
      <c r="B136" s="89" t="s">
        <v>198</v>
      </c>
      <c r="C136" s="89"/>
      <c r="D136" s="89">
        <v>2</v>
      </c>
      <c r="E136" s="89">
        <v>64</v>
      </c>
      <c r="F136" s="89" t="s">
        <v>75</v>
      </c>
      <c r="G136" s="89"/>
      <c r="H136" s="89"/>
      <c r="I136" s="89">
        <v>12000</v>
      </c>
      <c r="J136" s="89">
        <v>2400</v>
      </c>
      <c r="K136" s="89"/>
      <c r="L136" s="89"/>
      <c r="M136" s="89"/>
      <c r="N136" s="89"/>
      <c r="O136" s="89"/>
    </row>
    <row r="137" spans="1:16" ht="24">
      <c r="A137" s="89">
        <v>134</v>
      </c>
      <c r="B137" s="89" t="s">
        <v>199</v>
      </c>
      <c r="C137" s="89"/>
      <c r="D137" s="89" t="s">
        <v>102</v>
      </c>
      <c r="E137" s="89">
        <v>64</v>
      </c>
      <c r="F137" s="89" t="s">
        <v>75</v>
      </c>
      <c r="G137" s="89"/>
      <c r="H137" s="89"/>
      <c r="I137" s="89">
        <v>9800</v>
      </c>
      <c r="J137" s="89">
        <v>2400</v>
      </c>
      <c r="K137" s="89"/>
      <c r="L137" s="89"/>
      <c r="M137" s="89"/>
      <c r="N137" s="89"/>
      <c r="O137" s="89"/>
    </row>
    <row r="138" spans="1:16" ht="36">
      <c r="A138" s="90">
        <v>135</v>
      </c>
      <c r="B138" s="90" t="s">
        <v>200</v>
      </c>
      <c r="C138" s="90" t="s">
        <v>346</v>
      </c>
      <c r="D138" s="90">
        <v>5</v>
      </c>
      <c r="E138" s="90">
        <v>65</v>
      </c>
      <c r="F138" s="90" t="s">
        <v>75</v>
      </c>
      <c r="G138" s="90">
        <v>7073348495</v>
      </c>
      <c r="H138" s="90">
        <v>20000</v>
      </c>
      <c r="I138" s="90">
        <v>14200</v>
      </c>
      <c r="J138" s="90">
        <v>3200</v>
      </c>
      <c r="K138" s="90">
        <v>10000</v>
      </c>
      <c r="L138" s="90"/>
      <c r="M138" s="90"/>
      <c r="N138" s="90"/>
      <c r="O138" s="90">
        <f>K138+L138-M138</f>
        <v>10000</v>
      </c>
    </row>
    <row r="139" spans="1:16" ht="24">
      <c r="A139" s="90">
        <v>136</v>
      </c>
      <c r="B139" s="90" t="s">
        <v>201</v>
      </c>
      <c r="C139" s="90"/>
      <c r="D139" s="90">
        <v>3</v>
      </c>
      <c r="E139" s="90">
        <v>65</v>
      </c>
      <c r="F139" s="90" t="s">
        <v>75</v>
      </c>
      <c r="G139" s="90"/>
      <c r="H139" s="90"/>
      <c r="I139" s="90">
        <v>13300</v>
      </c>
      <c r="J139" s="90">
        <v>3200</v>
      </c>
      <c r="K139" s="90"/>
      <c r="L139" s="90"/>
      <c r="M139" s="90"/>
      <c r="N139" s="90"/>
      <c r="O139" s="90"/>
    </row>
    <row r="140" spans="1:16" ht="24">
      <c r="A140" s="90">
        <v>137</v>
      </c>
      <c r="B140" s="90" t="s">
        <v>202</v>
      </c>
      <c r="C140" s="90"/>
      <c r="D140" s="90" t="s">
        <v>102</v>
      </c>
      <c r="E140" s="90">
        <v>65</v>
      </c>
      <c r="F140" s="90" t="s">
        <v>75</v>
      </c>
      <c r="G140" s="90"/>
      <c r="H140" s="90"/>
      <c r="I140" s="90">
        <v>9800</v>
      </c>
      <c r="J140" s="90">
        <v>3200</v>
      </c>
      <c r="K140" s="90"/>
      <c r="L140" s="90"/>
      <c r="M140" s="90"/>
      <c r="N140" s="90"/>
      <c r="O140" s="90"/>
    </row>
    <row r="141" spans="1:16" ht="24">
      <c r="A141" s="89">
        <v>138</v>
      </c>
      <c r="B141" s="89" t="s">
        <v>203</v>
      </c>
      <c r="C141" s="89" t="s">
        <v>347</v>
      </c>
      <c r="D141" s="89">
        <v>5</v>
      </c>
      <c r="E141" s="89">
        <v>66</v>
      </c>
      <c r="F141" s="89" t="s">
        <v>75</v>
      </c>
      <c r="G141" s="89">
        <v>9983381751</v>
      </c>
      <c r="H141" s="89">
        <v>20000</v>
      </c>
      <c r="I141" s="89">
        <v>14200</v>
      </c>
      <c r="J141" s="89">
        <v>2600</v>
      </c>
      <c r="K141" s="89">
        <v>10000</v>
      </c>
      <c r="L141" s="89"/>
      <c r="M141" s="89"/>
      <c r="N141" s="89"/>
      <c r="O141" s="89">
        <f>K141+L141-M141</f>
        <v>10000</v>
      </c>
    </row>
    <row r="142" spans="1:16" ht="24">
      <c r="A142" s="89">
        <v>139</v>
      </c>
      <c r="B142" s="89" t="s">
        <v>204</v>
      </c>
      <c r="C142" s="89"/>
      <c r="D142" s="89">
        <v>4</v>
      </c>
      <c r="E142" s="89">
        <v>66</v>
      </c>
      <c r="F142" s="89" t="s">
        <v>75</v>
      </c>
      <c r="G142" s="89"/>
      <c r="H142" s="89"/>
      <c r="I142" s="89">
        <v>13900</v>
      </c>
      <c r="J142" s="89">
        <v>2600</v>
      </c>
      <c r="K142" s="89"/>
      <c r="L142" s="89"/>
      <c r="M142" s="89"/>
      <c r="N142" s="89"/>
      <c r="O142" s="89"/>
    </row>
    <row r="143" spans="1:16" ht="24">
      <c r="A143" s="89">
        <v>140</v>
      </c>
      <c r="B143" s="89" t="s">
        <v>206</v>
      </c>
      <c r="C143" s="89"/>
      <c r="D143" s="89">
        <v>1</v>
      </c>
      <c r="E143" s="89">
        <v>66</v>
      </c>
      <c r="F143" s="89" t="s">
        <v>75</v>
      </c>
      <c r="G143" s="89"/>
      <c r="H143" s="89"/>
      <c r="I143" s="89">
        <v>11500</v>
      </c>
      <c r="J143" s="89">
        <v>2600</v>
      </c>
      <c r="K143" s="89"/>
      <c r="L143" s="89"/>
      <c r="M143" s="89"/>
      <c r="N143" s="89"/>
      <c r="O143" s="89"/>
    </row>
    <row r="144" spans="1:16" ht="24">
      <c r="A144" s="89">
        <v>141</v>
      </c>
      <c r="B144" s="89" t="s">
        <v>205</v>
      </c>
      <c r="C144" s="89"/>
      <c r="D144" s="89">
        <v>3</v>
      </c>
      <c r="E144" s="89">
        <v>66</v>
      </c>
      <c r="F144" s="89" t="s">
        <v>75</v>
      </c>
      <c r="G144" s="89"/>
      <c r="H144" s="89"/>
      <c r="I144" s="89">
        <v>13300</v>
      </c>
      <c r="J144" s="89">
        <v>2600</v>
      </c>
      <c r="K144" s="89"/>
      <c r="L144" s="89"/>
      <c r="M144" s="89"/>
      <c r="N144" s="89"/>
      <c r="O144" s="89"/>
    </row>
    <row r="145" spans="1:16" ht="48">
      <c r="A145" s="90">
        <v>142</v>
      </c>
      <c r="B145" s="90" t="s">
        <v>207</v>
      </c>
      <c r="C145" s="90" t="s">
        <v>348</v>
      </c>
      <c r="D145" s="90">
        <v>5</v>
      </c>
      <c r="E145" s="90">
        <v>67</v>
      </c>
      <c r="F145" s="90" t="s">
        <v>75</v>
      </c>
      <c r="G145" s="90">
        <v>9928680497</v>
      </c>
      <c r="H145" s="90">
        <v>12400</v>
      </c>
      <c r="I145" s="90">
        <v>14200</v>
      </c>
      <c r="J145" s="90">
        <v>2500</v>
      </c>
      <c r="K145" s="90">
        <v>0</v>
      </c>
      <c r="L145" s="90"/>
      <c r="M145" s="90"/>
      <c r="N145" s="90"/>
      <c r="O145" s="90">
        <f>K145+L145-M145</f>
        <v>0</v>
      </c>
    </row>
    <row r="146" spans="1:16" ht="24">
      <c r="A146" s="90">
        <v>143</v>
      </c>
      <c r="B146" s="90" t="s">
        <v>208</v>
      </c>
      <c r="C146" s="90"/>
      <c r="D146" s="90" t="s">
        <v>102</v>
      </c>
      <c r="E146" s="90">
        <v>67</v>
      </c>
      <c r="F146" s="138" t="s">
        <v>76</v>
      </c>
      <c r="G146" s="90"/>
      <c r="H146" s="90"/>
      <c r="I146" s="90">
        <v>11500</v>
      </c>
      <c r="J146" s="90">
        <v>2500</v>
      </c>
      <c r="K146" s="90"/>
      <c r="L146" s="90"/>
      <c r="M146" s="90"/>
      <c r="N146" s="90"/>
      <c r="O146" s="90"/>
    </row>
    <row r="147" spans="1:16" ht="24">
      <c r="A147" s="92">
        <v>144</v>
      </c>
      <c r="B147" s="92" t="s">
        <v>209</v>
      </c>
      <c r="C147" s="92" t="s">
        <v>349</v>
      </c>
      <c r="D147" s="89">
        <v>5</v>
      </c>
      <c r="E147" s="89">
        <v>68</v>
      </c>
      <c r="F147" s="89" t="s">
        <v>75</v>
      </c>
      <c r="G147" s="89">
        <v>9571905723</v>
      </c>
      <c r="H147" s="89">
        <v>10000</v>
      </c>
      <c r="I147" s="89">
        <v>14200</v>
      </c>
      <c r="J147" s="89">
        <v>3400</v>
      </c>
      <c r="K147" s="89">
        <v>3000</v>
      </c>
      <c r="L147" s="89"/>
      <c r="M147" s="89"/>
      <c r="N147" s="89"/>
      <c r="O147" s="89">
        <f>K147+L147-M147</f>
        <v>3000</v>
      </c>
    </row>
    <row r="148" spans="1:16" ht="24">
      <c r="A148" s="90">
        <v>145</v>
      </c>
      <c r="B148" s="90" t="s">
        <v>210</v>
      </c>
      <c r="C148" s="95" t="s">
        <v>350</v>
      </c>
      <c r="D148" s="90">
        <v>5</v>
      </c>
      <c r="E148" s="90">
        <v>69</v>
      </c>
      <c r="F148" s="90" t="s">
        <v>75</v>
      </c>
      <c r="G148" s="90">
        <v>9982936131</v>
      </c>
      <c r="H148" s="90">
        <v>10000</v>
      </c>
      <c r="I148" s="90">
        <v>14200</v>
      </c>
      <c r="J148" s="90">
        <v>4700</v>
      </c>
      <c r="K148" s="90">
        <v>10000</v>
      </c>
      <c r="L148" s="90"/>
      <c r="M148" s="90"/>
      <c r="N148" s="90"/>
      <c r="O148" s="90">
        <f>K148+L148-M148</f>
        <v>10000</v>
      </c>
    </row>
    <row r="149" spans="1:16" ht="24">
      <c r="A149" s="89">
        <v>146</v>
      </c>
      <c r="B149" s="89" t="s">
        <v>211</v>
      </c>
      <c r="C149" s="89" t="s">
        <v>351</v>
      </c>
      <c r="D149" s="89">
        <v>5</v>
      </c>
      <c r="E149" s="89">
        <v>70</v>
      </c>
      <c r="F149" s="89" t="s">
        <v>75</v>
      </c>
      <c r="G149" s="89">
        <v>9829036692</v>
      </c>
      <c r="H149" s="89">
        <v>15000</v>
      </c>
      <c r="I149" s="89">
        <v>14200</v>
      </c>
      <c r="J149" s="89">
        <v>5000</v>
      </c>
      <c r="K149" s="89">
        <v>3500</v>
      </c>
      <c r="L149" s="89"/>
      <c r="M149" s="89"/>
      <c r="N149" s="89"/>
      <c r="O149" s="89">
        <f>K149+L149-M149</f>
        <v>3500</v>
      </c>
    </row>
    <row r="150" spans="1:16" ht="24">
      <c r="A150" s="90">
        <v>147</v>
      </c>
      <c r="B150" s="90" t="s">
        <v>212</v>
      </c>
      <c r="C150" s="91" t="s">
        <v>352</v>
      </c>
      <c r="D150" s="90">
        <v>4</v>
      </c>
      <c r="E150" s="90">
        <v>71</v>
      </c>
      <c r="F150" s="90" t="s">
        <v>75</v>
      </c>
      <c r="G150" s="90">
        <v>9983855280</v>
      </c>
      <c r="H150" s="90">
        <v>15000</v>
      </c>
      <c r="I150" s="90">
        <v>13900</v>
      </c>
      <c r="J150" s="90">
        <v>4700</v>
      </c>
      <c r="K150" s="90">
        <v>5000</v>
      </c>
      <c r="L150" s="90"/>
      <c r="M150" s="90">
        <v>2000</v>
      </c>
      <c r="N150" s="90"/>
      <c r="O150" s="90">
        <f>K150+L150-M150</f>
        <v>3000</v>
      </c>
      <c r="P150" s="96" t="s">
        <v>603</v>
      </c>
    </row>
    <row r="151" spans="1:16" ht="24">
      <c r="A151" s="90">
        <v>148</v>
      </c>
      <c r="B151" s="90" t="s">
        <v>213</v>
      </c>
      <c r="C151" s="90"/>
      <c r="D151" s="90">
        <v>3</v>
      </c>
      <c r="E151" s="90">
        <v>71</v>
      </c>
      <c r="F151" s="90" t="s">
        <v>75</v>
      </c>
      <c r="G151" s="90"/>
      <c r="H151" s="90"/>
      <c r="I151" s="90">
        <v>13300</v>
      </c>
      <c r="J151" s="90">
        <v>4700</v>
      </c>
      <c r="K151" s="90"/>
      <c r="L151" s="90"/>
      <c r="M151" s="90"/>
      <c r="N151" s="90"/>
      <c r="O151" s="90"/>
    </row>
    <row r="152" spans="1:16" ht="24">
      <c r="A152" s="89">
        <v>149</v>
      </c>
      <c r="B152" s="89" t="s">
        <v>214</v>
      </c>
      <c r="C152" s="89" t="s">
        <v>353</v>
      </c>
      <c r="D152" s="89">
        <v>4</v>
      </c>
      <c r="E152" s="89">
        <v>72</v>
      </c>
      <c r="F152" s="89" t="s">
        <v>76</v>
      </c>
      <c r="G152" s="89">
        <v>9983656011</v>
      </c>
      <c r="H152" s="89">
        <v>9500</v>
      </c>
      <c r="I152" s="89">
        <v>0</v>
      </c>
      <c r="J152" s="89">
        <v>2500</v>
      </c>
      <c r="K152" s="89">
        <v>0</v>
      </c>
      <c r="L152" s="89"/>
      <c r="M152" s="89"/>
      <c r="N152" s="89"/>
      <c r="O152" s="89">
        <f>K152+L152-M152</f>
        <v>0</v>
      </c>
    </row>
    <row r="153" spans="1:16" ht="24">
      <c r="A153" s="89">
        <v>150</v>
      </c>
      <c r="B153" s="89" t="s">
        <v>215</v>
      </c>
      <c r="C153" s="89"/>
      <c r="D153" s="89">
        <v>3</v>
      </c>
      <c r="E153" s="89">
        <v>72</v>
      </c>
      <c r="F153" s="89" t="s">
        <v>75</v>
      </c>
      <c r="G153" s="89"/>
      <c r="H153" s="89"/>
      <c r="I153" s="89">
        <v>13300</v>
      </c>
      <c r="J153" s="89">
        <v>2500</v>
      </c>
      <c r="K153" s="89">
        <v>0</v>
      </c>
      <c r="L153" s="89"/>
      <c r="M153" s="89"/>
      <c r="N153" s="89"/>
      <c r="O153" s="89"/>
    </row>
    <row r="154" spans="1:16" ht="24">
      <c r="A154" s="90">
        <v>151</v>
      </c>
      <c r="B154" s="90" t="s">
        <v>216</v>
      </c>
      <c r="C154" s="90" t="s">
        <v>354</v>
      </c>
      <c r="D154" s="90">
        <v>4</v>
      </c>
      <c r="E154" s="90">
        <v>73</v>
      </c>
      <c r="F154" s="90" t="s">
        <v>76</v>
      </c>
      <c r="G154" s="90">
        <v>6378009311</v>
      </c>
      <c r="H154" s="90">
        <v>4000</v>
      </c>
      <c r="I154" s="90">
        <v>0</v>
      </c>
      <c r="J154" s="90">
        <v>2000</v>
      </c>
      <c r="K154" s="90"/>
      <c r="L154" s="90"/>
      <c r="M154" s="90"/>
      <c r="N154" s="90"/>
      <c r="O154" s="90">
        <f>K154+L154-M154</f>
        <v>0</v>
      </c>
    </row>
    <row r="155" spans="1:16" ht="24">
      <c r="A155" s="90">
        <v>152</v>
      </c>
      <c r="B155" s="90" t="s">
        <v>217</v>
      </c>
      <c r="C155" s="90"/>
      <c r="D155" s="90" t="s">
        <v>102</v>
      </c>
      <c r="E155" s="90">
        <v>73</v>
      </c>
      <c r="F155" s="90" t="s">
        <v>76</v>
      </c>
      <c r="G155" s="90"/>
      <c r="H155" s="90"/>
      <c r="I155" s="90">
        <v>0</v>
      </c>
      <c r="J155" s="90">
        <v>2000</v>
      </c>
      <c r="K155" s="90"/>
      <c r="L155" s="90"/>
      <c r="M155" s="90"/>
      <c r="N155" s="90"/>
      <c r="O155" s="90"/>
    </row>
    <row r="156" spans="1:16" ht="24">
      <c r="A156" s="89">
        <v>153</v>
      </c>
      <c r="B156" s="89" t="s">
        <v>218</v>
      </c>
      <c r="C156" s="89" t="s">
        <v>355</v>
      </c>
      <c r="D156" s="89">
        <v>4</v>
      </c>
      <c r="E156" s="89">
        <v>74</v>
      </c>
      <c r="F156" s="89" t="s">
        <v>75</v>
      </c>
      <c r="G156" s="89">
        <v>8432631973</v>
      </c>
      <c r="H156" s="89">
        <v>13000</v>
      </c>
      <c r="I156" s="89">
        <v>13900</v>
      </c>
      <c r="J156" s="89">
        <v>2000</v>
      </c>
      <c r="K156" s="89">
        <v>4000</v>
      </c>
      <c r="L156" s="89"/>
      <c r="M156" s="89">
        <v>4000</v>
      </c>
      <c r="N156" s="89"/>
      <c r="O156" s="89">
        <f>K156+L156-M156</f>
        <v>0</v>
      </c>
      <c r="P156" s="96" t="s">
        <v>604</v>
      </c>
    </row>
    <row r="157" spans="1:16" ht="24">
      <c r="A157" s="89">
        <v>154</v>
      </c>
      <c r="B157" s="89" t="s">
        <v>219</v>
      </c>
      <c r="C157" s="89"/>
      <c r="D157" s="89" t="s">
        <v>102</v>
      </c>
      <c r="E157" s="89">
        <v>74</v>
      </c>
      <c r="F157" s="89" t="s">
        <v>76</v>
      </c>
      <c r="G157" s="89"/>
      <c r="H157" s="89"/>
      <c r="I157" s="89">
        <v>0</v>
      </c>
      <c r="J157" s="89">
        <v>2000</v>
      </c>
      <c r="K157" s="89"/>
      <c r="L157" s="89"/>
      <c r="M157" s="89"/>
      <c r="N157" s="89"/>
      <c r="O157" s="89"/>
    </row>
    <row r="158" spans="1:16" ht="24">
      <c r="A158" s="89">
        <v>155</v>
      </c>
      <c r="B158" s="89" t="s">
        <v>220</v>
      </c>
      <c r="C158" s="89"/>
      <c r="D158" s="89" t="s">
        <v>102</v>
      </c>
      <c r="E158" s="89">
        <v>74</v>
      </c>
      <c r="F158" s="89" t="s">
        <v>76</v>
      </c>
      <c r="G158" s="89"/>
      <c r="H158" s="89"/>
      <c r="I158" s="89">
        <v>0</v>
      </c>
      <c r="J158" s="89">
        <v>2000</v>
      </c>
      <c r="K158" s="89"/>
      <c r="L158" s="89"/>
      <c r="M158" s="89"/>
      <c r="N158" s="89"/>
      <c r="O158" s="89"/>
    </row>
    <row r="159" spans="1:16" ht="24">
      <c r="A159" s="90">
        <v>156</v>
      </c>
      <c r="B159" s="90" t="s">
        <v>221</v>
      </c>
      <c r="C159" s="90" t="s">
        <v>356</v>
      </c>
      <c r="D159" s="90">
        <v>4</v>
      </c>
      <c r="E159" s="90">
        <v>75</v>
      </c>
      <c r="F159" s="90" t="s">
        <v>75</v>
      </c>
      <c r="G159" s="90">
        <v>8058137011</v>
      </c>
      <c r="H159" s="90">
        <v>13000</v>
      </c>
      <c r="I159" s="90">
        <v>13900</v>
      </c>
      <c r="J159" s="90">
        <v>5200</v>
      </c>
      <c r="K159" s="90">
        <v>5000</v>
      </c>
      <c r="L159" s="90"/>
      <c r="M159" s="90"/>
      <c r="N159" s="90"/>
      <c r="O159" s="90">
        <f>K159+L159-M159</f>
        <v>5000</v>
      </c>
    </row>
    <row r="160" spans="1:16" ht="24">
      <c r="A160" s="89">
        <v>157</v>
      </c>
      <c r="B160" s="89" t="s">
        <v>222</v>
      </c>
      <c r="C160" s="89" t="s">
        <v>357</v>
      </c>
      <c r="D160" s="89">
        <v>4</v>
      </c>
      <c r="E160" s="89">
        <v>76</v>
      </c>
      <c r="F160" s="89" t="s">
        <v>75</v>
      </c>
      <c r="G160" s="89">
        <v>9530183827</v>
      </c>
      <c r="H160" s="89">
        <v>7000</v>
      </c>
      <c r="I160" s="89">
        <v>13900</v>
      </c>
      <c r="J160" s="89">
        <v>2800</v>
      </c>
      <c r="K160" s="89">
        <v>0</v>
      </c>
      <c r="L160" s="89"/>
      <c r="M160" s="89"/>
      <c r="N160" s="89"/>
      <c r="O160" s="89">
        <f>K160+L160-M160</f>
        <v>0</v>
      </c>
    </row>
    <row r="161" spans="1:16">
      <c r="A161" s="89">
        <v>158</v>
      </c>
      <c r="B161" s="89" t="s">
        <v>393</v>
      </c>
      <c r="C161" s="89"/>
      <c r="D161" s="89" t="s">
        <v>130</v>
      </c>
      <c r="E161" s="89">
        <v>76</v>
      </c>
      <c r="F161" s="89" t="s">
        <v>75</v>
      </c>
      <c r="G161" s="89"/>
      <c r="H161" s="89"/>
      <c r="I161" s="89">
        <v>0</v>
      </c>
      <c r="J161" s="89"/>
      <c r="K161" s="89"/>
      <c r="L161" s="89"/>
      <c r="M161" s="89"/>
      <c r="N161" s="89"/>
      <c r="O161" s="89"/>
    </row>
    <row r="162" spans="1:16" ht="24">
      <c r="A162" s="90">
        <v>159</v>
      </c>
      <c r="B162" s="90" t="s">
        <v>223</v>
      </c>
      <c r="C162" s="90" t="s">
        <v>358</v>
      </c>
      <c r="D162" s="90">
        <v>4</v>
      </c>
      <c r="E162" s="90">
        <v>77</v>
      </c>
      <c r="F162" s="90" t="s">
        <v>75</v>
      </c>
      <c r="G162" s="90">
        <v>9694730141</v>
      </c>
      <c r="H162" s="90">
        <v>14000</v>
      </c>
      <c r="I162" s="90">
        <v>13900</v>
      </c>
      <c r="J162" s="90">
        <v>2800</v>
      </c>
      <c r="K162" s="90">
        <v>2000</v>
      </c>
      <c r="L162" s="90"/>
      <c r="M162" s="90"/>
      <c r="N162" s="90"/>
      <c r="O162" s="90">
        <f>K162+L162-M162</f>
        <v>2000</v>
      </c>
    </row>
    <row r="163" spans="1:16" ht="36">
      <c r="A163" s="91">
        <v>160</v>
      </c>
      <c r="B163" s="91" t="s">
        <v>225</v>
      </c>
      <c r="C163" s="91" t="s">
        <v>58</v>
      </c>
      <c r="D163" s="89">
        <v>4</v>
      </c>
      <c r="E163" s="89">
        <v>78</v>
      </c>
      <c r="F163" s="89" t="s">
        <v>75</v>
      </c>
      <c r="G163" s="89"/>
      <c r="H163" s="89">
        <v>10600</v>
      </c>
      <c r="I163" s="89">
        <v>13900</v>
      </c>
      <c r="J163" s="89">
        <v>2500</v>
      </c>
      <c r="K163" s="89">
        <v>0</v>
      </c>
      <c r="L163" s="89"/>
      <c r="M163" s="89"/>
      <c r="N163" s="89"/>
      <c r="O163" s="89">
        <f>K163+L163-M163</f>
        <v>0</v>
      </c>
    </row>
    <row r="164" spans="1:16" ht="24">
      <c r="A164" s="91">
        <v>161</v>
      </c>
      <c r="B164" s="91" t="s">
        <v>224</v>
      </c>
      <c r="C164" s="91"/>
      <c r="D164" s="89" t="s">
        <v>130</v>
      </c>
      <c r="E164" s="89">
        <v>78</v>
      </c>
      <c r="F164" s="89" t="s">
        <v>75</v>
      </c>
      <c r="G164" s="89"/>
      <c r="H164" s="89"/>
      <c r="I164" s="89">
        <v>9300</v>
      </c>
      <c r="J164" s="89">
        <v>2500</v>
      </c>
      <c r="K164" s="89">
        <v>0</v>
      </c>
      <c r="L164" s="89"/>
      <c r="M164" s="89"/>
      <c r="N164" s="89"/>
      <c r="O164" s="89"/>
    </row>
    <row r="165" spans="1:16" ht="24">
      <c r="A165" s="90">
        <v>162</v>
      </c>
      <c r="B165" s="90" t="s">
        <v>226</v>
      </c>
      <c r="C165" s="90" t="s">
        <v>359</v>
      </c>
      <c r="D165" s="90">
        <v>3</v>
      </c>
      <c r="E165" s="90">
        <v>79</v>
      </c>
      <c r="F165" s="90" t="s">
        <v>75</v>
      </c>
      <c r="G165" s="90">
        <v>8290308479</v>
      </c>
      <c r="H165" s="90">
        <v>13000</v>
      </c>
      <c r="I165" s="90">
        <v>13300</v>
      </c>
      <c r="J165" s="90">
        <v>2000</v>
      </c>
      <c r="K165" s="90">
        <v>0</v>
      </c>
      <c r="L165" s="90"/>
      <c r="M165" s="90"/>
      <c r="N165" s="90"/>
      <c r="O165" s="90">
        <f>K165+L165-M165</f>
        <v>0</v>
      </c>
    </row>
    <row r="166" spans="1:16" ht="24">
      <c r="A166" s="90">
        <v>163</v>
      </c>
      <c r="B166" s="90" t="s">
        <v>227</v>
      </c>
      <c r="C166" s="90"/>
      <c r="D166" s="90" t="s">
        <v>102</v>
      </c>
      <c r="E166" s="90">
        <v>79</v>
      </c>
      <c r="F166" s="90" t="s">
        <v>76</v>
      </c>
      <c r="G166" s="90"/>
      <c r="H166" s="90"/>
      <c r="I166" s="90">
        <v>0</v>
      </c>
      <c r="J166" s="90">
        <v>2000</v>
      </c>
      <c r="K166" s="90"/>
      <c r="L166" s="90"/>
      <c r="M166" s="90"/>
      <c r="N166" s="90"/>
      <c r="O166" s="90"/>
    </row>
    <row r="167" spans="1:16" ht="48">
      <c r="A167" s="89">
        <v>164</v>
      </c>
      <c r="B167" s="89" t="s">
        <v>228</v>
      </c>
      <c r="C167" s="89" t="s">
        <v>360</v>
      </c>
      <c r="D167" s="89">
        <v>3</v>
      </c>
      <c r="E167" s="89">
        <v>80</v>
      </c>
      <c r="F167" s="89" t="s">
        <v>75</v>
      </c>
      <c r="G167" s="89">
        <v>9001530545</v>
      </c>
      <c r="H167" s="89">
        <v>18000</v>
      </c>
      <c r="I167" s="89">
        <v>13300</v>
      </c>
      <c r="J167" s="89">
        <v>5000</v>
      </c>
      <c r="K167" s="89">
        <v>5000</v>
      </c>
      <c r="L167" s="89"/>
      <c r="M167" s="89">
        <v>5000</v>
      </c>
      <c r="N167" s="89"/>
      <c r="O167" s="89">
        <f>K167+L167-M167</f>
        <v>0</v>
      </c>
      <c r="P167" s="96" t="s">
        <v>605</v>
      </c>
    </row>
    <row r="168" spans="1:16" ht="24">
      <c r="A168" s="89">
        <v>165</v>
      </c>
      <c r="B168" s="89" t="s">
        <v>229</v>
      </c>
      <c r="C168" s="89"/>
      <c r="D168" s="89" t="s">
        <v>130</v>
      </c>
      <c r="E168" s="89">
        <v>80</v>
      </c>
      <c r="F168" s="89" t="s">
        <v>75</v>
      </c>
      <c r="G168" s="89"/>
      <c r="H168" s="89"/>
      <c r="I168" s="89">
        <v>9300</v>
      </c>
      <c r="J168" s="89">
        <v>5000</v>
      </c>
      <c r="K168" s="89"/>
      <c r="L168" s="89"/>
      <c r="M168" s="89"/>
      <c r="N168" s="89"/>
      <c r="O168" s="89"/>
    </row>
    <row r="169" spans="1:16" ht="24">
      <c r="A169" s="91">
        <v>166</v>
      </c>
      <c r="B169" s="91" t="s">
        <v>230</v>
      </c>
      <c r="C169" s="91" t="s">
        <v>361</v>
      </c>
      <c r="D169" s="90">
        <v>3</v>
      </c>
      <c r="E169" s="90">
        <v>81</v>
      </c>
      <c r="F169" s="90" t="s">
        <v>75</v>
      </c>
      <c r="G169" s="90"/>
      <c r="H169" s="90">
        <v>15000</v>
      </c>
      <c r="I169" s="90">
        <v>13300</v>
      </c>
      <c r="J169" s="90">
        <v>5000</v>
      </c>
      <c r="K169" s="90">
        <v>0</v>
      </c>
      <c r="L169" s="90"/>
      <c r="M169" s="90"/>
      <c r="N169" s="90"/>
      <c r="O169" s="90">
        <f>K169+L169-M169</f>
        <v>0</v>
      </c>
    </row>
    <row r="170" spans="1:16" ht="24">
      <c r="A170" s="91">
        <v>167</v>
      </c>
      <c r="B170" s="91" t="s">
        <v>231</v>
      </c>
      <c r="C170" s="91"/>
      <c r="D170" s="90">
        <v>1</v>
      </c>
      <c r="E170" s="90">
        <v>81</v>
      </c>
      <c r="F170" s="90" t="s">
        <v>75</v>
      </c>
      <c r="G170" s="90"/>
      <c r="H170" s="90"/>
      <c r="I170" s="90">
        <v>11500</v>
      </c>
      <c r="J170" s="90">
        <v>5000</v>
      </c>
      <c r="K170" s="90"/>
      <c r="L170" s="90"/>
      <c r="M170" s="90"/>
      <c r="N170" s="90"/>
      <c r="O170" s="90"/>
    </row>
    <row r="171" spans="1:16" ht="60">
      <c r="A171" s="89">
        <v>168</v>
      </c>
      <c r="B171" s="89" t="s">
        <v>232</v>
      </c>
      <c r="C171" s="89" t="s">
        <v>362</v>
      </c>
      <c r="D171" s="89">
        <v>3</v>
      </c>
      <c r="E171" s="89">
        <v>82</v>
      </c>
      <c r="F171" s="89" t="s">
        <v>75</v>
      </c>
      <c r="G171" s="89">
        <v>9783141398</v>
      </c>
      <c r="H171" s="89">
        <v>14000</v>
      </c>
      <c r="I171" s="89">
        <v>13300</v>
      </c>
      <c r="J171" s="89">
        <v>2000</v>
      </c>
      <c r="K171" s="89">
        <v>2000</v>
      </c>
      <c r="L171" s="89"/>
      <c r="M171" s="89">
        <v>2000</v>
      </c>
      <c r="N171" s="89"/>
      <c r="O171" s="89">
        <f>K171+L171-M171</f>
        <v>0</v>
      </c>
      <c r="P171" s="96" t="s">
        <v>606</v>
      </c>
    </row>
    <row r="172" spans="1:16" ht="24">
      <c r="A172" s="89">
        <v>169</v>
      </c>
      <c r="B172" s="89" t="s">
        <v>233</v>
      </c>
      <c r="C172" s="89"/>
      <c r="D172" s="89" t="s">
        <v>102</v>
      </c>
      <c r="E172" s="89">
        <v>82</v>
      </c>
      <c r="F172" s="89" t="s">
        <v>76</v>
      </c>
      <c r="G172" s="89"/>
      <c r="H172" s="89"/>
      <c r="I172" s="89">
        <v>0</v>
      </c>
      <c r="J172" s="89">
        <v>2000</v>
      </c>
      <c r="K172" s="89"/>
      <c r="L172" s="89"/>
      <c r="M172" s="89"/>
      <c r="N172" s="89"/>
      <c r="O172" s="89"/>
    </row>
    <row r="173" spans="1:16" ht="24">
      <c r="A173" s="90">
        <v>170</v>
      </c>
      <c r="B173" s="90" t="s">
        <v>234</v>
      </c>
      <c r="C173" s="90" t="s">
        <v>363</v>
      </c>
      <c r="D173" s="90">
        <v>3</v>
      </c>
      <c r="E173" s="90">
        <v>83</v>
      </c>
      <c r="F173" s="90" t="s">
        <v>75</v>
      </c>
      <c r="G173" s="90">
        <v>9521417004</v>
      </c>
      <c r="H173" s="90">
        <v>8500</v>
      </c>
      <c r="I173" s="90">
        <v>13300</v>
      </c>
      <c r="J173" s="90">
        <v>2500</v>
      </c>
      <c r="K173" s="90">
        <v>500</v>
      </c>
      <c r="L173" s="90"/>
      <c r="M173" s="90"/>
      <c r="N173" s="90"/>
      <c r="O173" s="90">
        <f>K173+L173-M173</f>
        <v>500</v>
      </c>
    </row>
    <row r="174" spans="1:16" ht="36">
      <c r="A174" s="89">
        <v>171</v>
      </c>
      <c r="B174" s="89" t="s">
        <v>235</v>
      </c>
      <c r="C174" s="89" t="s">
        <v>364</v>
      </c>
      <c r="D174" s="89">
        <v>3</v>
      </c>
      <c r="E174" s="89">
        <v>84</v>
      </c>
      <c r="F174" s="89" t="s">
        <v>75</v>
      </c>
      <c r="G174" s="89">
        <v>9829487824</v>
      </c>
      <c r="H174" s="89">
        <v>30000</v>
      </c>
      <c r="I174" s="89">
        <v>13300</v>
      </c>
      <c r="J174" s="89">
        <v>3800</v>
      </c>
      <c r="K174" s="89">
        <v>0</v>
      </c>
      <c r="L174" s="89"/>
      <c r="M174" s="89"/>
      <c r="N174" s="89"/>
      <c r="O174" s="89">
        <f>K174+L174-M174</f>
        <v>0</v>
      </c>
    </row>
    <row r="175" spans="1:16" ht="24">
      <c r="A175" s="89">
        <v>172</v>
      </c>
      <c r="B175" s="89" t="s">
        <v>236</v>
      </c>
      <c r="C175" s="89" t="s">
        <v>530</v>
      </c>
      <c r="D175" s="89">
        <v>2</v>
      </c>
      <c r="E175" s="89">
        <v>84</v>
      </c>
      <c r="F175" s="89" t="s">
        <v>75</v>
      </c>
      <c r="G175" s="89"/>
      <c r="H175" s="89"/>
      <c r="I175" s="89">
        <v>12000</v>
      </c>
      <c r="J175" s="89">
        <v>3800</v>
      </c>
      <c r="K175" s="89"/>
      <c r="L175" s="89"/>
      <c r="M175" s="89"/>
      <c r="N175" s="89"/>
      <c r="O175" s="89"/>
    </row>
    <row r="176" spans="1:16" ht="24">
      <c r="A176" s="89">
        <v>173</v>
      </c>
      <c r="B176" s="89" t="s">
        <v>237</v>
      </c>
      <c r="C176" s="89"/>
      <c r="D176" s="89">
        <v>2</v>
      </c>
      <c r="E176" s="89">
        <v>84</v>
      </c>
      <c r="F176" s="89" t="s">
        <v>75</v>
      </c>
      <c r="G176" s="89"/>
      <c r="H176" s="89"/>
      <c r="I176" s="89">
        <v>12000</v>
      </c>
      <c r="J176" s="89">
        <v>3800</v>
      </c>
      <c r="K176" s="89"/>
      <c r="L176" s="89"/>
      <c r="M176" s="89"/>
      <c r="N176" s="89"/>
      <c r="O176" s="89"/>
    </row>
    <row r="177" spans="1:17" ht="24">
      <c r="A177" s="89">
        <v>174</v>
      </c>
      <c r="B177" s="89" t="s">
        <v>238</v>
      </c>
      <c r="C177" s="89"/>
      <c r="D177" s="89" t="s">
        <v>102</v>
      </c>
      <c r="E177" s="89">
        <v>84</v>
      </c>
      <c r="F177" s="89" t="s">
        <v>75</v>
      </c>
      <c r="G177" s="89"/>
      <c r="H177" s="89"/>
      <c r="I177" s="89">
        <v>9800</v>
      </c>
      <c r="J177" s="89">
        <v>3800</v>
      </c>
      <c r="K177" s="89"/>
      <c r="L177" s="89"/>
      <c r="M177" s="89"/>
      <c r="N177" s="89"/>
      <c r="O177" s="89"/>
    </row>
    <row r="178" spans="1:17" ht="24">
      <c r="A178" s="90">
        <v>175</v>
      </c>
      <c r="B178" s="90" t="s">
        <v>239</v>
      </c>
      <c r="C178" s="90" t="s">
        <v>365</v>
      </c>
      <c r="D178" s="90">
        <v>3</v>
      </c>
      <c r="E178" s="90">
        <v>85</v>
      </c>
      <c r="F178" s="90" t="s">
        <v>75</v>
      </c>
      <c r="G178" s="90">
        <v>9929718217</v>
      </c>
      <c r="H178" s="90">
        <v>10000</v>
      </c>
      <c r="I178" s="90">
        <v>13300</v>
      </c>
      <c r="J178" s="90">
        <v>5200</v>
      </c>
      <c r="K178" s="90">
        <v>2000</v>
      </c>
      <c r="L178" s="90"/>
      <c r="M178" s="90"/>
      <c r="N178" s="90"/>
      <c r="O178" s="90">
        <f>K178+L178-M178</f>
        <v>2000</v>
      </c>
    </row>
    <row r="179" spans="1:17" ht="36">
      <c r="A179" s="89">
        <v>176</v>
      </c>
      <c r="B179" s="89" t="s">
        <v>366</v>
      </c>
      <c r="C179" s="89" t="s">
        <v>367</v>
      </c>
      <c r="D179" s="89">
        <v>3</v>
      </c>
      <c r="E179" s="89">
        <v>86</v>
      </c>
      <c r="F179" s="89" t="s">
        <v>75</v>
      </c>
      <c r="G179" s="89">
        <v>9829626268</v>
      </c>
      <c r="H179" s="89">
        <v>15000</v>
      </c>
      <c r="I179" s="89">
        <v>13300</v>
      </c>
      <c r="J179" s="89">
        <v>3600</v>
      </c>
      <c r="K179" s="89">
        <v>8000</v>
      </c>
      <c r="L179" s="89"/>
      <c r="M179" s="89"/>
      <c r="N179" s="89"/>
      <c r="O179" s="89">
        <f>K179+L179-M179</f>
        <v>8000</v>
      </c>
    </row>
    <row r="180" spans="1:17" ht="24">
      <c r="A180" s="89">
        <v>177</v>
      </c>
      <c r="B180" s="89" t="s">
        <v>240</v>
      </c>
      <c r="C180" s="89"/>
      <c r="D180" s="89" t="s">
        <v>102</v>
      </c>
      <c r="E180" s="89">
        <v>86</v>
      </c>
      <c r="F180" s="89" t="s">
        <v>75</v>
      </c>
      <c r="G180" s="89"/>
      <c r="H180" s="89"/>
      <c r="I180" s="89">
        <v>9800</v>
      </c>
      <c r="J180" s="89"/>
      <c r="K180" s="89"/>
      <c r="L180" s="89"/>
      <c r="M180" s="89"/>
      <c r="N180" s="89"/>
      <c r="O180" s="89"/>
    </row>
    <row r="181" spans="1:17" ht="24">
      <c r="A181" s="90">
        <v>178</v>
      </c>
      <c r="B181" s="90" t="s">
        <v>241</v>
      </c>
      <c r="C181" s="90" t="s">
        <v>368</v>
      </c>
      <c r="D181" s="90">
        <v>3</v>
      </c>
      <c r="E181" s="90">
        <v>87</v>
      </c>
      <c r="F181" s="90" t="s">
        <v>75</v>
      </c>
      <c r="G181" s="90">
        <v>7976353412</v>
      </c>
      <c r="H181" s="90">
        <v>11000</v>
      </c>
      <c r="I181" s="90">
        <v>13300</v>
      </c>
      <c r="J181" s="90">
        <v>5000</v>
      </c>
      <c r="K181" s="90">
        <v>5000</v>
      </c>
      <c r="L181" s="90"/>
      <c r="M181" s="90"/>
      <c r="N181" s="90"/>
      <c r="O181" s="90">
        <f t="shared" ref="O181:O183" si="2">K181+L181-M181</f>
        <v>5000</v>
      </c>
      <c r="P181" s="137"/>
      <c r="Q181" s="137"/>
    </row>
    <row r="182" spans="1:17" ht="24">
      <c r="A182" s="90">
        <v>223</v>
      </c>
      <c r="B182" s="90" t="s">
        <v>173</v>
      </c>
      <c r="C182" s="90"/>
      <c r="D182" s="90" t="s">
        <v>130</v>
      </c>
      <c r="E182" s="90"/>
      <c r="F182" s="90" t="s">
        <v>75</v>
      </c>
      <c r="G182" s="90"/>
      <c r="H182" s="90"/>
      <c r="I182" s="90">
        <v>9300</v>
      </c>
      <c r="J182" s="90">
        <v>5000</v>
      </c>
      <c r="K182" s="90"/>
      <c r="L182" s="90"/>
      <c r="M182" s="90"/>
      <c r="N182" s="90"/>
      <c r="O182" s="90">
        <f>K182+L182-M182</f>
        <v>0</v>
      </c>
      <c r="P182" s="137"/>
      <c r="Q182" s="137"/>
    </row>
    <row r="183" spans="1:17" ht="60">
      <c r="A183" s="89">
        <v>179</v>
      </c>
      <c r="B183" s="89" t="s">
        <v>242</v>
      </c>
      <c r="C183" s="89" t="s">
        <v>369</v>
      </c>
      <c r="D183" s="89">
        <v>3</v>
      </c>
      <c r="E183" s="89">
        <v>88</v>
      </c>
      <c r="F183" s="89" t="s">
        <v>75</v>
      </c>
      <c r="G183" s="89">
        <v>7568652007</v>
      </c>
      <c r="H183" s="89">
        <v>15000</v>
      </c>
      <c r="I183" s="89">
        <v>13300</v>
      </c>
      <c r="J183" s="89">
        <v>3000</v>
      </c>
      <c r="K183" s="89">
        <v>7000</v>
      </c>
      <c r="L183" s="89"/>
      <c r="M183" s="89"/>
      <c r="N183" s="89"/>
      <c r="O183" s="89">
        <f t="shared" si="2"/>
        <v>7000</v>
      </c>
    </row>
    <row r="184" spans="1:17" ht="24">
      <c r="A184" s="89">
        <v>180</v>
      </c>
      <c r="B184" s="89" t="s">
        <v>243</v>
      </c>
      <c r="C184" s="89"/>
      <c r="D184" s="89" t="s">
        <v>130</v>
      </c>
      <c r="E184" s="89">
        <v>88</v>
      </c>
      <c r="F184" s="89" t="s">
        <v>75</v>
      </c>
      <c r="G184" s="89"/>
      <c r="H184" s="89"/>
      <c r="I184" s="89">
        <v>9300</v>
      </c>
      <c r="J184" s="89">
        <v>3000</v>
      </c>
      <c r="K184" s="89"/>
      <c r="L184" s="89"/>
      <c r="M184" s="89"/>
      <c r="N184" s="89"/>
      <c r="O184" s="89"/>
    </row>
    <row r="185" spans="1:17" ht="24">
      <c r="A185" s="90">
        <v>181</v>
      </c>
      <c r="B185" s="90" t="s">
        <v>244</v>
      </c>
      <c r="C185" s="90" t="s">
        <v>370</v>
      </c>
      <c r="D185" s="90">
        <v>3</v>
      </c>
      <c r="E185" s="90">
        <v>89</v>
      </c>
      <c r="F185" s="90" t="s">
        <v>75</v>
      </c>
      <c r="G185" s="90">
        <v>9799878597</v>
      </c>
      <c r="H185" s="90">
        <v>20000</v>
      </c>
      <c r="I185" s="90">
        <v>13300</v>
      </c>
      <c r="J185" s="90">
        <v>4000</v>
      </c>
      <c r="K185" s="90">
        <v>10000</v>
      </c>
      <c r="L185" s="90"/>
      <c r="M185" s="90"/>
      <c r="N185" s="90"/>
      <c r="O185" s="90">
        <f>K185+L185-M185</f>
        <v>10000</v>
      </c>
    </row>
    <row r="186" spans="1:17" ht="24">
      <c r="A186" s="90">
        <v>182</v>
      </c>
      <c r="B186" s="90" t="s">
        <v>172</v>
      </c>
      <c r="C186" s="90"/>
      <c r="D186" s="90" t="s">
        <v>102</v>
      </c>
      <c r="E186" s="90">
        <v>89</v>
      </c>
      <c r="F186" s="90" t="s">
        <v>75</v>
      </c>
      <c r="G186" s="90"/>
      <c r="H186" s="90"/>
      <c r="I186" s="90">
        <v>9800</v>
      </c>
      <c r="J186" s="90">
        <v>4000</v>
      </c>
      <c r="K186" s="90"/>
      <c r="L186" s="90"/>
      <c r="M186" s="90"/>
      <c r="N186" s="90"/>
      <c r="O186" s="90"/>
    </row>
    <row r="187" spans="1:17" ht="24">
      <c r="A187" s="89">
        <v>183</v>
      </c>
      <c r="B187" s="89" t="s">
        <v>245</v>
      </c>
      <c r="C187" s="89" t="s">
        <v>371</v>
      </c>
      <c r="D187" s="89">
        <v>3</v>
      </c>
      <c r="E187" s="89">
        <v>90</v>
      </c>
      <c r="F187" s="89" t="s">
        <v>75</v>
      </c>
      <c r="G187" s="89">
        <v>9571953704</v>
      </c>
      <c r="H187" s="89">
        <v>11000</v>
      </c>
      <c r="I187" s="89">
        <v>13300</v>
      </c>
      <c r="J187" s="89">
        <v>5000</v>
      </c>
      <c r="K187" s="89">
        <v>0</v>
      </c>
      <c r="L187" s="89"/>
      <c r="M187" s="89"/>
      <c r="N187" s="89"/>
      <c r="O187" s="89">
        <f t="shared" ref="O187:O188" si="3">K187+L187-M187</f>
        <v>0</v>
      </c>
    </row>
    <row r="188" spans="1:17" ht="24">
      <c r="A188" s="90">
        <v>184</v>
      </c>
      <c r="B188" s="90" t="s">
        <v>246</v>
      </c>
      <c r="C188" s="90" t="s">
        <v>372</v>
      </c>
      <c r="D188" s="90">
        <v>3</v>
      </c>
      <c r="E188" s="90">
        <v>91</v>
      </c>
      <c r="F188" s="90" t="s">
        <v>75</v>
      </c>
      <c r="G188" s="90">
        <v>9982006644</v>
      </c>
      <c r="H188" s="90">
        <v>20000</v>
      </c>
      <c r="I188" s="90">
        <v>13300</v>
      </c>
      <c r="J188" s="90">
        <v>3600</v>
      </c>
      <c r="K188" s="90">
        <v>12000</v>
      </c>
      <c r="L188" s="90"/>
      <c r="M188" s="90"/>
      <c r="N188" s="90"/>
      <c r="O188" s="90">
        <f t="shared" si="3"/>
        <v>12000</v>
      </c>
    </row>
    <row r="189" spans="1:17" ht="24">
      <c r="A189" s="90">
        <v>185</v>
      </c>
      <c r="B189" s="90" t="s">
        <v>186</v>
      </c>
      <c r="C189" s="90"/>
      <c r="D189" s="90">
        <v>1</v>
      </c>
      <c r="E189" s="90">
        <v>91</v>
      </c>
      <c r="F189" s="90" t="s">
        <v>75</v>
      </c>
      <c r="G189" s="90"/>
      <c r="H189" s="90"/>
      <c r="I189" s="90">
        <v>11500</v>
      </c>
      <c r="J189" s="90">
        <v>3600</v>
      </c>
      <c r="K189" s="90">
        <v>0</v>
      </c>
      <c r="L189" s="90"/>
      <c r="M189" s="90"/>
      <c r="N189" s="90"/>
      <c r="O189" s="90"/>
    </row>
    <row r="190" spans="1:17" ht="24">
      <c r="A190" s="89">
        <v>186</v>
      </c>
      <c r="B190" s="89" t="s">
        <v>247</v>
      </c>
      <c r="C190" s="89" t="s">
        <v>373</v>
      </c>
      <c r="D190" s="89">
        <v>2</v>
      </c>
      <c r="E190" s="89">
        <v>92</v>
      </c>
      <c r="F190" s="89" t="s">
        <v>75</v>
      </c>
      <c r="G190" s="89">
        <v>9983110928</v>
      </c>
      <c r="H190" s="89">
        <v>10000</v>
      </c>
      <c r="I190" s="89">
        <v>12000</v>
      </c>
      <c r="J190" s="89">
        <v>3000</v>
      </c>
      <c r="K190" s="89">
        <v>4000</v>
      </c>
      <c r="L190" s="89"/>
      <c r="M190" s="89"/>
      <c r="N190" s="89"/>
      <c r="O190" s="89">
        <f t="shared" ref="O190:O191" si="4">K190+L190-M190</f>
        <v>4000</v>
      </c>
    </row>
    <row r="191" spans="1:17" ht="24">
      <c r="A191" s="90">
        <v>187</v>
      </c>
      <c r="B191" s="90" t="s">
        <v>248</v>
      </c>
      <c r="C191" s="90" t="s">
        <v>374</v>
      </c>
      <c r="D191" s="90">
        <v>2</v>
      </c>
      <c r="E191" s="90">
        <v>93</v>
      </c>
      <c r="F191" s="90" t="s">
        <v>75</v>
      </c>
      <c r="G191" s="90">
        <v>9866606762</v>
      </c>
      <c r="H191" s="90">
        <v>22700</v>
      </c>
      <c r="I191" s="90">
        <v>12000</v>
      </c>
      <c r="J191" s="90">
        <v>4000</v>
      </c>
      <c r="K191" s="90">
        <v>0</v>
      </c>
      <c r="L191" s="90"/>
      <c r="M191" s="90"/>
      <c r="N191" s="90"/>
      <c r="O191" s="90">
        <f t="shared" si="4"/>
        <v>0</v>
      </c>
    </row>
    <row r="192" spans="1:17" ht="24">
      <c r="A192" s="90">
        <v>188</v>
      </c>
      <c r="B192" s="90" t="s">
        <v>249</v>
      </c>
      <c r="C192" s="90"/>
      <c r="D192" s="90">
        <v>1</v>
      </c>
      <c r="E192" s="90">
        <v>93</v>
      </c>
      <c r="F192" s="90" t="s">
        <v>75</v>
      </c>
      <c r="G192" s="90"/>
      <c r="H192" s="90"/>
      <c r="I192" s="90">
        <v>11500</v>
      </c>
      <c r="J192" s="90">
        <v>4000</v>
      </c>
      <c r="K192" s="90"/>
      <c r="L192" s="90"/>
      <c r="M192" s="90"/>
      <c r="N192" s="90"/>
      <c r="O192" s="90"/>
    </row>
    <row r="193" spans="1:16" ht="24">
      <c r="A193" s="90">
        <v>189</v>
      </c>
      <c r="B193" s="90" t="s">
        <v>250</v>
      </c>
      <c r="C193" s="90"/>
      <c r="D193" s="90" t="s">
        <v>102</v>
      </c>
      <c r="E193" s="90">
        <v>93</v>
      </c>
      <c r="F193" s="90" t="s">
        <v>75</v>
      </c>
      <c r="G193" s="90"/>
      <c r="H193" s="90"/>
      <c r="I193" s="90">
        <v>9800</v>
      </c>
      <c r="J193" s="90">
        <v>4000</v>
      </c>
      <c r="K193" s="90"/>
      <c r="L193" s="90"/>
      <c r="M193" s="90"/>
      <c r="N193" s="90"/>
      <c r="O193" s="90"/>
    </row>
    <row r="194" spans="1:16" ht="24">
      <c r="A194" s="90">
        <v>190</v>
      </c>
      <c r="B194" s="90" t="s">
        <v>251</v>
      </c>
      <c r="C194" s="90"/>
      <c r="D194" s="90">
        <v>2</v>
      </c>
      <c r="E194" s="90">
        <v>93</v>
      </c>
      <c r="F194" s="90" t="s">
        <v>75</v>
      </c>
      <c r="G194" s="90"/>
      <c r="H194" s="90"/>
      <c r="I194" s="90">
        <v>12000</v>
      </c>
      <c r="J194" s="90">
        <v>4000</v>
      </c>
      <c r="K194" s="90"/>
      <c r="L194" s="90"/>
      <c r="M194" s="90"/>
      <c r="N194" s="90"/>
      <c r="O194" s="90">
        <f t="shared" ref="O194:O195" si="5">K194+L194-M194</f>
        <v>0</v>
      </c>
    </row>
    <row r="195" spans="1:16" ht="36">
      <c r="A195" s="89">
        <v>191</v>
      </c>
      <c r="B195" s="89" t="s">
        <v>252</v>
      </c>
      <c r="C195" s="89" t="s">
        <v>375</v>
      </c>
      <c r="D195" s="89">
        <v>2</v>
      </c>
      <c r="E195" s="89">
        <v>94</v>
      </c>
      <c r="F195" s="89" t="s">
        <v>75</v>
      </c>
      <c r="G195" s="89">
        <v>9799059732</v>
      </c>
      <c r="H195" s="89">
        <v>8000</v>
      </c>
      <c r="I195" s="89">
        <v>12000</v>
      </c>
      <c r="J195" s="89">
        <v>2500</v>
      </c>
      <c r="K195" s="89"/>
      <c r="L195" s="89"/>
      <c r="M195" s="89"/>
      <c r="N195" s="89"/>
      <c r="O195" s="89">
        <f t="shared" si="5"/>
        <v>0</v>
      </c>
    </row>
    <row r="196" spans="1:16" ht="24">
      <c r="A196" s="89">
        <v>192</v>
      </c>
      <c r="B196" s="89" t="s">
        <v>253</v>
      </c>
      <c r="C196" s="89"/>
      <c r="D196" s="89" t="s">
        <v>130</v>
      </c>
      <c r="E196" s="89">
        <v>94</v>
      </c>
      <c r="F196" s="89" t="s">
        <v>76</v>
      </c>
      <c r="G196" s="89"/>
      <c r="H196" s="89"/>
      <c r="I196" s="89">
        <v>0</v>
      </c>
      <c r="J196" s="89">
        <v>2500</v>
      </c>
      <c r="K196" s="89"/>
      <c r="L196" s="89"/>
      <c r="M196" s="89"/>
      <c r="N196" s="89"/>
      <c r="O196" s="89"/>
    </row>
    <row r="197" spans="1:16" ht="36">
      <c r="A197" s="90">
        <v>193</v>
      </c>
      <c r="B197" s="90" t="s">
        <v>254</v>
      </c>
      <c r="C197" s="90" t="s">
        <v>376</v>
      </c>
      <c r="D197" s="90">
        <v>2</v>
      </c>
      <c r="E197" s="90">
        <v>95</v>
      </c>
      <c r="F197" s="90" t="s">
        <v>75</v>
      </c>
      <c r="G197" s="90">
        <v>9772126103</v>
      </c>
      <c r="H197" s="90">
        <v>15000</v>
      </c>
      <c r="I197" s="90">
        <v>12000</v>
      </c>
      <c r="J197" s="90">
        <v>2000</v>
      </c>
      <c r="K197" s="90">
        <v>5000</v>
      </c>
      <c r="L197" s="90"/>
      <c r="M197" s="90"/>
      <c r="N197" s="90"/>
      <c r="O197" s="90">
        <f>K197+L197-M197</f>
        <v>5000</v>
      </c>
    </row>
    <row r="198" spans="1:16" ht="24">
      <c r="A198" s="90">
        <v>194</v>
      </c>
      <c r="B198" s="90" t="s">
        <v>255</v>
      </c>
      <c r="C198" s="90"/>
      <c r="D198" s="90">
        <v>2</v>
      </c>
      <c r="E198" s="90">
        <v>95</v>
      </c>
      <c r="F198" s="90" t="s">
        <v>75</v>
      </c>
      <c r="G198" s="90"/>
      <c r="H198" s="90"/>
      <c r="I198" s="90">
        <v>12000</v>
      </c>
      <c r="J198" s="90">
        <v>2000</v>
      </c>
      <c r="K198" s="90"/>
      <c r="L198" s="90"/>
      <c r="M198" s="90"/>
      <c r="N198" s="90"/>
      <c r="O198" s="90"/>
    </row>
    <row r="199" spans="1:16" ht="24">
      <c r="A199" s="89">
        <v>195</v>
      </c>
      <c r="B199" s="89" t="s">
        <v>256</v>
      </c>
      <c r="C199" s="89" t="s">
        <v>377</v>
      </c>
      <c r="D199" s="89">
        <v>2</v>
      </c>
      <c r="E199" s="89">
        <v>96</v>
      </c>
      <c r="F199" s="89" t="s">
        <v>75</v>
      </c>
      <c r="G199" s="89">
        <v>9413147378</v>
      </c>
      <c r="H199" s="89">
        <v>15000</v>
      </c>
      <c r="I199" s="89">
        <v>12000</v>
      </c>
      <c r="J199" s="89">
        <v>5000</v>
      </c>
      <c r="K199" s="89">
        <v>0</v>
      </c>
      <c r="L199" s="89"/>
      <c r="M199" s="89"/>
      <c r="N199" s="89"/>
      <c r="O199" s="89">
        <f>K199+L199-M199</f>
        <v>0</v>
      </c>
    </row>
    <row r="200" spans="1:16" ht="24">
      <c r="A200" s="90">
        <v>196</v>
      </c>
      <c r="B200" s="90" t="s">
        <v>257</v>
      </c>
      <c r="C200" s="90" t="s">
        <v>378</v>
      </c>
      <c r="D200" s="90">
        <v>2</v>
      </c>
      <c r="E200" s="90">
        <v>97</v>
      </c>
      <c r="F200" s="90" t="s">
        <v>75</v>
      </c>
      <c r="G200" s="90"/>
      <c r="H200" s="90">
        <v>0</v>
      </c>
      <c r="I200" s="90">
        <v>0</v>
      </c>
      <c r="J200" s="90">
        <v>0</v>
      </c>
      <c r="K200" s="90">
        <v>0</v>
      </c>
      <c r="L200" s="90">
        <v>0</v>
      </c>
      <c r="M200" s="90"/>
      <c r="N200" s="90"/>
      <c r="O200" s="90">
        <f>K200+L200-M200</f>
        <v>0</v>
      </c>
    </row>
    <row r="201" spans="1:16" ht="48">
      <c r="A201" s="89">
        <v>197</v>
      </c>
      <c r="B201" s="89" t="s">
        <v>258</v>
      </c>
      <c r="C201" s="89" t="s">
        <v>379</v>
      </c>
      <c r="D201" s="89">
        <v>2</v>
      </c>
      <c r="E201" s="89">
        <v>98</v>
      </c>
      <c r="F201" s="89" t="s">
        <v>75</v>
      </c>
      <c r="G201" s="89">
        <v>9783518237</v>
      </c>
      <c r="H201" s="89">
        <v>13000</v>
      </c>
      <c r="I201" s="89">
        <v>12000</v>
      </c>
      <c r="J201" s="89">
        <v>2500</v>
      </c>
      <c r="K201" s="89">
        <v>3000</v>
      </c>
      <c r="L201" s="89"/>
      <c r="M201" s="89">
        <v>3000</v>
      </c>
      <c r="N201" s="89"/>
      <c r="O201" s="89">
        <f>K201+L201-M201</f>
        <v>0</v>
      </c>
      <c r="P201" s="96" t="s">
        <v>607</v>
      </c>
    </row>
    <row r="202" spans="1:16" ht="24">
      <c r="A202" s="89">
        <v>198</v>
      </c>
      <c r="B202" s="89" t="s">
        <v>259</v>
      </c>
      <c r="C202" s="89"/>
      <c r="D202" s="89" t="s">
        <v>130</v>
      </c>
      <c r="E202" s="89">
        <v>98</v>
      </c>
      <c r="F202" s="89" t="s">
        <v>75</v>
      </c>
      <c r="G202" s="89"/>
      <c r="H202" s="89"/>
      <c r="I202" s="89">
        <v>9300</v>
      </c>
      <c r="J202" s="89">
        <v>2500</v>
      </c>
      <c r="K202" s="89"/>
      <c r="L202" s="89"/>
      <c r="M202" s="89"/>
      <c r="N202" s="89"/>
      <c r="O202" s="89"/>
    </row>
    <row r="203" spans="1:16" ht="24">
      <c r="A203" s="91">
        <v>199</v>
      </c>
      <c r="B203" s="91" t="s">
        <v>380</v>
      </c>
      <c r="C203" s="90"/>
      <c r="D203" s="90">
        <v>2</v>
      </c>
      <c r="E203" s="90">
        <v>99</v>
      </c>
      <c r="F203" s="90" t="s">
        <v>76</v>
      </c>
      <c r="G203" s="90"/>
      <c r="H203" s="90">
        <v>2500</v>
      </c>
      <c r="I203" s="90">
        <v>0</v>
      </c>
      <c r="J203" s="90">
        <v>2800</v>
      </c>
      <c r="K203" s="90">
        <v>0</v>
      </c>
      <c r="L203" s="90"/>
      <c r="M203" s="90"/>
      <c r="N203" s="90"/>
      <c r="O203" s="90">
        <f>K203+L203-M203</f>
        <v>0</v>
      </c>
    </row>
    <row r="204" spans="1:16" ht="24">
      <c r="A204" s="91">
        <v>200</v>
      </c>
      <c r="B204" s="91" t="s">
        <v>260</v>
      </c>
      <c r="C204" s="119" t="s">
        <v>381</v>
      </c>
      <c r="D204" s="119">
        <v>1</v>
      </c>
      <c r="E204" s="119">
        <v>100</v>
      </c>
      <c r="F204" s="119" t="s">
        <v>75</v>
      </c>
      <c r="G204" s="119"/>
      <c r="H204" s="119">
        <v>13600</v>
      </c>
      <c r="I204" s="119">
        <v>11500</v>
      </c>
      <c r="J204" s="119">
        <v>2800</v>
      </c>
      <c r="K204" s="119">
        <v>0</v>
      </c>
      <c r="L204" s="119"/>
      <c r="M204" s="119"/>
      <c r="N204" s="119"/>
      <c r="O204" s="119">
        <f>K204+L204-M204</f>
        <v>0</v>
      </c>
    </row>
    <row r="205" spans="1:16" ht="24">
      <c r="A205" s="91">
        <v>201</v>
      </c>
      <c r="B205" s="91" t="s">
        <v>261</v>
      </c>
      <c r="C205" s="119"/>
      <c r="D205" s="119" t="s">
        <v>102</v>
      </c>
      <c r="E205" s="119">
        <v>100</v>
      </c>
      <c r="F205" s="119" t="s">
        <v>76</v>
      </c>
      <c r="G205" s="119"/>
      <c r="H205" s="119"/>
      <c r="I205" s="119">
        <v>0</v>
      </c>
      <c r="J205" s="119">
        <v>2800</v>
      </c>
      <c r="K205" s="119"/>
      <c r="L205" s="119"/>
      <c r="M205" s="119"/>
      <c r="N205" s="119"/>
      <c r="O205" s="119"/>
    </row>
    <row r="206" spans="1:16" ht="24">
      <c r="A206" s="90">
        <v>202</v>
      </c>
      <c r="B206" s="90" t="s">
        <v>262</v>
      </c>
      <c r="C206" s="90" t="s">
        <v>382</v>
      </c>
      <c r="D206" s="90">
        <v>1</v>
      </c>
      <c r="E206" s="90">
        <v>101</v>
      </c>
      <c r="F206" s="90" t="s">
        <v>75</v>
      </c>
      <c r="G206" s="90">
        <v>9602419986</v>
      </c>
      <c r="H206" s="90">
        <v>11500</v>
      </c>
      <c r="I206" s="90">
        <v>11500</v>
      </c>
      <c r="J206" s="90">
        <v>4800</v>
      </c>
      <c r="K206" s="90">
        <v>0</v>
      </c>
      <c r="L206" s="90"/>
      <c r="M206" s="90"/>
      <c r="N206" s="90"/>
      <c r="O206" s="90">
        <f>K206+L206-M206</f>
        <v>0</v>
      </c>
    </row>
    <row r="207" spans="1:16" ht="24">
      <c r="A207" s="89">
        <v>203</v>
      </c>
      <c r="B207" s="89" t="s">
        <v>263</v>
      </c>
      <c r="C207" s="89"/>
      <c r="D207" s="89">
        <v>1</v>
      </c>
      <c r="E207" s="89">
        <v>102</v>
      </c>
      <c r="F207" s="89" t="s">
        <v>75</v>
      </c>
      <c r="G207" s="89"/>
      <c r="H207" s="89">
        <v>10000</v>
      </c>
      <c r="I207" s="89">
        <v>11500</v>
      </c>
      <c r="J207" s="89">
        <v>0</v>
      </c>
      <c r="K207" s="89">
        <v>0</v>
      </c>
      <c r="L207" s="89"/>
      <c r="M207" s="89"/>
      <c r="N207" s="89"/>
      <c r="O207" s="89">
        <f>K207+L207-M207</f>
        <v>0</v>
      </c>
    </row>
    <row r="208" spans="1:16" ht="24">
      <c r="A208" s="89">
        <v>204</v>
      </c>
      <c r="B208" s="89" t="s">
        <v>264</v>
      </c>
      <c r="C208" s="89"/>
      <c r="D208" s="89" t="s">
        <v>102</v>
      </c>
      <c r="E208" s="89">
        <v>102</v>
      </c>
      <c r="F208" s="89" t="s">
        <v>75</v>
      </c>
      <c r="G208" s="89"/>
      <c r="H208" s="89"/>
      <c r="I208" s="89">
        <v>9800</v>
      </c>
      <c r="J208" s="89">
        <v>0</v>
      </c>
      <c r="K208" s="89"/>
      <c r="L208" s="89"/>
      <c r="M208" s="89"/>
      <c r="N208" s="89"/>
      <c r="O208" s="89"/>
    </row>
    <row r="209" spans="1:16" ht="24">
      <c r="A209" s="90">
        <v>205</v>
      </c>
      <c r="B209" s="90" t="s">
        <v>265</v>
      </c>
      <c r="C209" s="90" t="s">
        <v>383</v>
      </c>
      <c r="D209" s="90">
        <v>1</v>
      </c>
      <c r="E209" s="90">
        <v>103</v>
      </c>
      <c r="F209" s="90" t="s">
        <v>75</v>
      </c>
      <c r="G209" s="90">
        <v>9784361216</v>
      </c>
      <c r="H209" s="90">
        <v>11000</v>
      </c>
      <c r="I209" s="90">
        <v>11500</v>
      </c>
      <c r="J209" s="90">
        <v>4800</v>
      </c>
      <c r="K209" s="90">
        <v>2000</v>
      </c>
      <c r="L209" s="90"/>
      <c r="M209" s="90"/>
      <c r="N209" s="90"/>
      <c r="O209" s="90">
        <f t="shared" ref="O209:O219" si="6">K209+L209-M209</f>
        <v>2000</v>
      </c>
    </row>
    <row r="210" spans="1:16" ht="36">
      <c r="A210" s="89">
        <v>206</v>
      </c>
      <c r="B210" s="89" t="s">
        <v>266</v>
      </c>
      <c r="C210" s="89"/>
      <c r="D210" s="89">
        <v>1</v>
      </c>
      <c r="E210" s="89">
        <v>104</v>
      </c>
      <c r="F210" s="89" t="s">
        <v>76</v>
      </c>
      <c r="G210" s="89"/>
      <c r="H210" s="89">
        <v>2500</v>
      </c>
      <c r="I210" s="89">
        <v>11500</v>
      </c>
      <c r="J210" s="89">
        <v>2300</v>
      </c>
      <c r="K210" s="89">
        <v>3000</v>
      </c>
      <c r="L210" s="89"/>
      <c r="M210" s="89"/>
      <c r="N210" s="89"/>
      <c r="O210" s="89">
        <f t="shared" si="6"/>
        <v>3000</v>
      </c>
    </row>
    <row r="211" spans="1:16" ht="24">
      <c r="A211" s="90">
        <v>207</v>
      </c>
      <c r="B211" s="90" t="s">
        <v>267</v>
      </c>
      <c r="C211" s="90"/>
      <c r="D211" s="90">
        <v>1</v>
      </c>
      <c r="E211" s="90">
        <v>105</v>
      </c>
      <c r="F211" s="90" t="s">
        <v>75</v>
      </c>
      <c r="G211" s="90"/>
      <c r="H211" s="90">
        <v>8000</v>
      </c>
      <c r="I211" s="90">
        <v>11500</v>
      </c>
      <c r="J211" s="90">
        <v>2800</v>
      </c>
      <c r="K211" s="90">
        <v>3000</v>
      </c>
      <c r="L211" s="90"/>
      <c r="M211" s="90"/>
      <c r="N211" s="90"/>
      <c r="O211" s="90">
        <f t="shared" si="6"/>
        <v>3000</v>
      </c>
    </row>
    <row r="212" spans="1:16" ht="24">
      <c r="A212" s="89">
        <v>208</v>
      </c>
      <c r="B212" s="89" t="s">
        <v>268</v>
      </c>
      <c r="C212" s="89"/>
      <c r="D212" s="89">
        <v>1</v>
      </c>
      <c r="E212" s="89">
        <v>106</v>
      </c>
      <c r="F212" s="89" t="s">
        <v>75</v>
      </c>
      <c r="G212" s="89"/>
      <c r="H212" s="89">
        <v>9000</v>
      </c>
      <c r="I212" s="89">
        <v>11500</v>
      </c>
      <c r="J212" s="89">
        <v>5000</v>
      </c>
      <c r="K212" s="89">
        <v>0</v>
      </c>
      <c r="L212" s="89"/>
      <c r="M212" s="89"/>
      <c r="N212" s="89"/>
      <c r="O212" s="89">
        <f t="shared" si="6"/>
        <v>0</v>
      </c>
    </row>
    <row r="213" spans="1:16" ht="48">
      <c r="A213" s="90">
        <v>209</v>
      </c>
      <c r="B213" s="90" t="s">
        <v>269</v>
      </c>
      <c r="C213" s="90"/>
      <c r="D213" s="90">
        <v>1</v>
      </c>
      <c r="E213" s="90">
        <v>107</v>
      </c>
      <c r="F213" s="90" t="s">
        <v>75</v>
      </c>
      <c r="G213" s="90"/>
      <c r="H213" s="90">
        <v>10000</v>
      </c>
      <c r="I213" s="90">
        <v>11500</v>
      </c>
      <c r="J213" s="90">
        <v>4000</v>
      </c>
      <c r="K213" s="90">
        <v>6000</v>
      </c>
      <c r="L213" s="90"/>
      <c r="M213" s="90"/>
      <c r="N213" s="90"/>
      <c r="O213" s="90">
        <f t="shared" si="6"/>
        <v>6000</v>
      </c>
    </row>
    <row r="214" spans="1:16" ht="24">
      <c r="A214" s="89">
        <v>210</v>
      </c>
      <c r="B214" s="89" t="s">
        <v>270</v>
      </c>
      <c r="C214" s="89"/>
      <c r="D214" s="89">
        <v>1</v>
      </c>
      <c r="E214" s="89">
        <v>108</v>
      </c>
      <c r="F214" s="89" t="s">
        <v>75</v>
      </c>
      <c r="G214" s="89"/>
      <c r="H214" s="89">
        <v>7000</v>
      </c>
      <c r="I214" s="89">
        <v>11500</v>
      </c>
      <c r="J214" s="89">
        <v>3200</v>
      </c>
      <c r="K214" s="89">
        <v>0</v>
      </c>
      <c r="L214" s="89"/>
      <c r="M214" s="89"/>
      <c r="N214" s="89"/>
      <c r="O214" s="89">
        <f t="shared" si="6"/>
        <v>0</v>
      </c>
    </row>
    <row r="215" spans="1:16" ht="24">
      <c r="A215" s="90">
        <v>211</v>
      </c>
      <c r="B215" s="90" t="s">
        <v>271</v>
      </c>
      <c r="C215" s="94" t="s">
        <v>384</v>
      </c>
      <c r="D215" s="90" t="s">
        <v>102</v>
      </c>
      <c r="E215" s="90">
        <v>109</v>
      </c>
      <c r="F215" s="90" t="s">
        <v>75</v>
      </c>
      <c r="G215" s="90"/>
      <c r="H215" s="90">
        <v>7000</v>
      </c>
      <c r="I215" s="90">
        <v>9800</v>
      </c>
      <c r="J215" s="90">
        <v>2500</v>
      </c>
      <c r="K215" s="90">
        <v>12000</v>
      </c>
      <c r="L215" s="90"/>
      <c r="M215" s="90"/>
      <c r="N215" s="90"/>
      <c r="O215" s="90">
        <f t="shared" si="6"/>
        <v>12000</v>
      </c>
    </row>
    <row r="216" spans="1:16" ht="48">
      <c r="A216" s="89">
        <v>212</v>
      </c>
      <c r="B216" s="89" t="s">
        <v>173</v>
      </c>
      <c r="C216" s="89" t="s">
        <v>385</v>
      </c>
      <c r="D216" s="89" t="s">
        <v>102</v>
      </c>
      <c r="E216" s="89">
        <v>110</v>
      </c>
      <c r="F216" s="89" t="s">
        <v>76</v>
      </c>
      <c r="G216" s="89"/>
      <c r="H216" s="89">
        <v>2500</v>
      </c>
      <c r="I216" s="89">
        <v>0</v>
      </c>
      <c r="J216" s="89">
        <v>2500</v>
      </c>
      <c r="K216" s="89">
        <v>0</v>
      </c>
      <c r="L216" s="89"/>
      <c r="M216" s="89"/>
      <c r="N216" s="89"/>
      <c r="O216" s="89">
        <f t="shared" si="6"/>
        <v>0</v>
      </c>
    </row>
    <row r="217" spans="1:16" ht="36">
      <c r="A217" s="90">
        <v>213</v>
      </c>
      <c r="B217" s="90" t="s">
        <v>272</v>
      </c>
      <c r="C217" s="90" t="s">
        <v>386</v>
      </c>
      <c r="D217" s="90" t="s">
        <v>102</v>
      </c>
      <c r="E217" s="90">
        <v>111</v>
      </c>
      <c r="F217" s="90" t="s">
        <v>75</v>
      </c>
      <c r="G217" s="90">
        <v>9887505222</v>
      </c>
      <c r="H217" s="90">
        <v>10000</v>
      </c>
      <c r="I217" s="90">
        <v>9800</v>
      </c>
      <c r="J217" s="90">
        <v>3000</v>
      </c>
      <c r="K217" s="90">
        <v>4200</v>
      </c>
      <c r="L217" s="90"/>
      <c r="M217" s="90">
        <v>4000</v>
      </c>
      <c r="N217" s="90"/>
      <c r="O217" s="90">
        <f t="shared" si="6"/>
        <v>200</v>
      </c>
      <c r="P217" s="96" t="s">
        <v>608</v>
      </c>
    </row>
    <row r="218" spans="1:16" ht="24">
      <c r="A218" s="89">
        <v>214</v>
      </c>
      <c r="B218" s="89" t="s">
        <v>273</v>
      </c>
      <c r="C218" s="89" t="s">
        <v>387</v>
      </c>
      <c r="D218" s="89" t="s">
        <v>102</v>
      </c>
      <c r="E218" s="89">
        <v>112</v>
      </c>
      <c r="F218" s="89" t="s">
        <v>76</v>
      </c>
      <c r="G218" s="89"/>
      <c r="H218" s="89">
        <v>0</v>
      </c>
      <c r="I218" s="89">
        <v>0</v>
      </c>
      <c r="J218" s="89">
        <v>0</v>
      </c>
      <c r="K218" s="89">
        <v>0</v>
      </c>
      <c r="L218" s="89"/>
      <c r="M218" s="89"/>
      <c r="N218" s="89"/>
      <c r="O218" s="89">
        <f t="shared" si="6"/>
        <v>0</v>
      </c>
    </row>
    <row r="219" spans="1:16" ht="24">
      <c r="A219" s="90">
        <v>215</v>
      </c>
      <c r="B219" s="90" t="s">
        <v>274</v>
      </c>
      <c r="C219" s="90" t="s">
        <v>388</v>
      </c>
      <c r="D219" s="90" t="s">
        <v>102</v>
      </c>
      <c r="E219" s="90">
        <v>113</v>
      </c>
      <c r="F219" s="90" t="s">
        <v>75</v>
      </c>
      <c r="G219" s="90">
        <v>9785141718</v>
      </c>
      <c r="H219" s="90">
        <v>15000</v>
      </c>
      <c r="I219" s="90">
        <v>9800</v>
      </c>
      <c r="J219" s="90">
        <v>5200</v>
      </c>
      <c r="K219" s="90">
        <v>5000</v>
      </c>
      <c r="L219" s="90"/>
      <c r="M219" s="90">
        <v>3300</v>
      </c>
      <c r="N219" s="90"/>
      <c r="O219" s="90">
        <f t="shared" si="6"/>
        <v>1700</v>
      </c>
      <c r="P219" s="96" t="s">
        <v>610</v>
      </c>
    </row>
    <row r="220" spans="1:16" ht="24">
      <c r="A220" s="90">
        <v>216</v>
      </c>
      <c r="B220" s="90" t="s">
        <v>275</v>
      </c>
      <c r="C220" s="90"/>
      <c r="D220" s="90" t="s">
        <v>130</v>
      </c>
      <c r="E220" s="90">
        <v>113</v>
      </c>
      <c r="F220" s="90" t="s">
        <v>75</v>
      </c>
      <c r="G220" s="90"/>
      <c r="H220" s="90"/>
      <c r="I220" s="90">
        <v>9300</v>
      </c>
      <c r="J220" s="90">
        <v>5200</v>
      </c>
      <c r="K220" s="90"/>
      <c r="L220" s="90"/>
      <c r="M220" s="90"/>
      <c r="N220" s="90"/>
      <c r="O220" s="90"/>
    </row>
    <row r="221" spans="1:16" ht="24">
      <c r="A221" s="89">
        <v>217</v>
      </c>
      <c r="B221" s="89" t="s">
        <v>35</v>
      </c>
      <c r="C221" s="89" t="s">
        <v>389</v>
      </c>
      <c r="D221" s="89" t="s">
        <v>102</v>
      </c>
      <c r="E221" s="89">
        <v>114</v>
      </c>
      <c r="F221" s="89" t="s">
        <v>75</v>
      </c>
      <c r="G221" s="89">
        <v>7690040030</v>
      </c>
      <c r="H221" s="89">
        <v>15000</v>
      </c>
      <c r="I221" s="89">
        <v>9800</v>
      </c>
      <c r="J221" s="89">
        <v>3200</v>
      </c>
      <c r="K221" s="89">
        <v>10000</v>
      </c>
      <c r="L221" s="89"/>
      <c r="M221" s="89">
        <v>5000</v>
      </c>
      <c r="N221" s="89"/>
      <c r="O221" s="89">
        <f>K221+L221-M221</f>
        <v>5000</v>
      </c>
      <c r="P221" s="96" t="s">
        <v>609</v>
      </c>
    </row>
    <row r="222" spans="1:16" ht="24">
      <c r="A222" s="89">
        <v>218</v>
      </c>
      <c r="B222" s="89" t="s">
        <v>276</v>
      </c>
      <c r="C222" s="89"/>
      <c r="D222" s="89" t="s">
        <v>130</v>
      </c>
      <c r="E222" s="89">
        <v>114</v>
      </c>
      <c r="F222" s="89" t="s">
        <v>75</v>
      </c>
      <c r="G222" s="89"/>
      <c r="H222" s="89"/>
      <c r="I222" s="89">
        <v>9300</v>
      </c>
      <c r="J222" s="89">
        <v>3200</v>
      </c>
      <c r="K222" s="89"/>
      <c r="L222" s="89"/>
      <c r="M222" s="89"/>
      <c r="N222" s="89"/>
      <c r="O222" s="89"/>
    </row>
    <row r="223" spans="1:16" ht="24">
      <c r="A223" s="90">
        <v>219</v>
      </c>
      <c r="B223" s="90" t="s">
        <v>277</v>
      </c>
      <c r="C223" s="90" t="s">
        <v>390</v>
      </c>
      <c r="D223" s="90" t="s">
        <v>102</v>
      </c>
      <c r="E223" s="90">
        <v>115</v>
      </c>
      <c r="F223" s="90" t="s">
        <v>75</v>
      </c>
      <c r="G223" s="90">
        <v>9983197266</v>
      </c>
      <c r="H223" s="90">
        <v>10000</v>
      </c>
      <c r="I223" s="90">
        <v>9800</v>
      </c>
      <c r="J223" s="90">
        <v>3600</v>
      </c>
      <c r="K223" s="90">
        <v>5000</v>
      </c>
      <c r="L223" s="90"/>
      <c r="M223" s="90"/>
      <c r="N223" s="90"/>
      <c r="O223" s="90">
        <f t="shared" ref="O223:O229" si="7">K223+L223-M223</f>
        <v>5000</v>
      </c>
    </row>
    <row r="224" spans="1:16" ht="24">
      <c r="A224" s="89">
        <v>220</v>
      </c>
      <c r="B224" s="89" t="s">
        <v>278</v>
      </c>
      <c r="C224" s="89" t="s">
        <v>532</v>
      </c>
      <c r="D224" s="89" t="s">
        <v>130</v>
      </c>
      <c r="E224" s="89">
        <v>116</v>
      </c>
      <c r="F224" s="89" t="s">
        <v>76</v>
      </c>
      <c r="G224" s="89"/>
      <c r="H224" s="89">
        <v>0</v>
      </c>
      <c r="I224" s="89">
        <v>0</v>
      </c>
      <c r="J224" s="89">
        <v>2500</v>
      </c>
      <c r="K224" s="89">
        <v>0</v>
      </c>
      <c r="L224" s="89"/>
      <c r="M224" s="89"/>
      <c r="N224" s="89"/>
      <c r="O224" s="89">
        <f t="shared" si="7"/>
        <v>0</v>
      </c>
    </row>
    <row r="225" spans="1:16" ht="24">
      <c r="A225" s="90">
        <v>221</v>
      </c>
      <c r="B225" s="90" t="s">
        <v>279</v>
      </c>
      <c r="C225" s="90" t="s">
        <v>391</v>
      </c>
      <c r="D225" s="90" t="s">
        <v>130</v>
      </c>
      <c r="E225" s="90">
        <v>117</v>
      </c>
      <c r="F225" s="90" t="s">
        <v>75</v>
      </c>
      <c r="G225" s="90">
        <v>9784482877</v>
      </c>
      <c r="H225" s="90">
        <v>4000</v>
      </c>
      <c r="I225" s="90">
        <v>9300</v>
      </c>
      <c r="J225" s="90">
        <v>3000</v>
      </c>
      <c r="K225" s="90">
        <v>4000</v>
      </c>
      <c r="L225" s="90"/>
      <c r="M225" s="90"/>
      <c r="N225" s="90"/>
      <c r="O225" s="90">
        <f t="shared" si="7"/>
        <v>4000</v>
      </c>
      <c r="P225" s="96" t="s">
        <v>531</v>
      </c>
    </row>
    <row r="226" spans="1:16" ht="24">
      <c r="A226" s="89">
        <v>222</v>
      </c>
      <c r="B226" s="89" t="s">
        <v>280</v>
      </c>
      <c r="C226" s="89"/>
      <c r="D226" s="89" t="s">
        <v>130</v>
      </c>
      <c r="E226" s="89">
        <v>118</v>
      </c>
      <c r="F226" s="89" t="s">
        <v>75</v>
      </c>
      <c r="G226" s="89"/>
      <c r="H226" s="89">
        <v>5800</v>
      </c>
      <c r="I226" s="89">
        <v>9300</v>
      </c>
      <c r="J226" s="89">
        <v>3000</v>
      </c>
      <c r="K226" s="89">
        <v>0</v>
      </c>
      <c r="L226" s="89"/>
      <c r="M226" s="89"/>
      <c r="N226" s="89"/>
      <c r="O226" s="89">
        <f t="shared" si="7"/>
        <v>0</v>
      </c>
    </row>
    <row r="227" spans="1:16" ht="48">
      <c r="A227" s="90">
        <v>224</v>
      </c>
      <c r="B227" s="90" t="s">
        <v>281</v>
      </c>
      <c r="C227" s="90" t="s">
        <v>392</v>
      </c>
      <c r="D227" s="90" t="s">
        <v>130</v>
      </c>
      <c r="E227" s="90">
        <v>119</v>
      </c>
      <c r="F227" s="90" t="s">
        <v>76</v>
      </c>
      <c r="G227" s="90">
        <v>9694708380</v>
      </c>
      <c r="H227" s="90">
        <v>2000</v>
      </c>
      <c r="I227" s="90">
        <v>0</v>
      </c>
      <c r="J227" s="90">
        <v>2500</v>
      </c>
      <c r="K227" s="90">
        <v>0</v>
      </c>
      <c r="L227" s="90"/>
      <c r="M227" s="90"/>
      <c r="N227" s="90"/>
      <c r="O227" s="90">
        <f t="shared" si="7"/>
        <v>0</v>
      </c>
    </row>
    <row r="228" spans="1:16" ht="84">
      <c r="A228" s="128">
        <v>225</v>
      </c>
      <c r="B228" s="128" t="s">
        <v>282</v>
      </c>
      <c r="C228" s="128"/>
      <c r="D228" s="128" t="s">
        <v>533</v>
      </c>
      <c r="E228" s="128">
        <v>120</v>
      </c>
      <c r="F228" s="128" t="s">
        <v>75</v>
      </c>
      <c r="G228" s="128"/>
      <c r="H228" s="128">
        <v>6500</v>
      </c>
      <c r="I228" s="128">
        <v>9300</v>
      </c>
      <c r="J228" s="128">
        <v>2800</v>
      </c>
      <c r="K228" s="128">
        <v>0</v>
      </c>
      <c r="L228" s="128"/>
      <c r="M228" s="128"/>
      <c r="N228" s="128"/>
      <c r="O228" s="128">
        <f t="shared" si="7"/>
        <v>0</v>
      </c>
    </row>
    <row r="229" spans="1:16" ht="72">
      <c r="A229" s="89">
        <v>227</v>
      </c>
      <c r="B229" s="89" t="s">
        <v>284</v>
      </c>
      <c r="C229" s="89" t="s">
        <v>394</v>
      </c>
      <c r="D229" s="89" t="s">
        <v>98</v>
      </c>
      <c r="E229" s="89">
        <v>122</v>
      </c>
      <c r="F229" s="89" t="s">
        <v>75</v>
      </c>
      <c r="G229" s="89">
        <v>9166294727</v>
      </c>
      <c r="H229" s="89">
        <v>0</v>
      </c>
      <c r="I229" s="89">
        <v>8500</v>
      </c>
      <c r="J229" s="89">
        <v>2000</v>
      </c>
      <c r="K229" s="89">
        <v>0</v>
      </c>
      <c r="L229" s="89"/>
      <c r="M229" s="89"/>
      <c r="N229" s="89"/>
      <c r="O229" s="89">
        <f t="shared" si="7"/>
        <v>0</v>
      </c>
    </row>
    <row r="230" spans="1:16" ht="24">
      <c r="A230" s="89">
        <v>228</v>
      </c>
      <c r="B230" s="89" t="s">
        <v>95</v>
      </c>
      <c r="C230" s="89"/>
      <c r="D230" s="89" t="s">
        <v>130</v>
      </c>
      <c r="E230" s="89">
        <v>122</v>
      </c>
      <c r="F230" s="89" t="s">
        <v>76</v>
      </c>
      <c r="G230" s="89"/>
      <c r="H230" s="89">
        <v>2000</v>
      </c>
      <c r="I230" s="89">
        <v>0</v>
      </c>
      <c r="J230" s="89">
        <v>2000</v>
      </c>
      <c r="K230" s="89"/>
      <c r="L230" s="89"/>
      <c r="M230" s="89"/>
      <c r="N230" s="89"/>
      <c r="O230" s="89">
        <f t="shared" ref="O230:O238" si="8">K230+L230-M230</f>
        <v>0</v>
      </c>
    </row>
    <row r="231" spans="1:16" ht="24">
      <c r="A231" s="90">
        <v>229</v>
      </c>
      <c r="B231" s="90" t="s">
        <v>285</v>
      </c>
      <c r="C231" s="90" t="s">
        <v>395</v>
      </c>
      <c r="D231" s="90" t="s">
        <v>130</v>
      </c>
      <c r="E231" s="90">
        <v>123</v>
      </c>
      <c r="F231" s="90" t="s">
        <v>75</v>
      </c>
      <c r="G231" s="90">
        <v>7878960692</v>
      </c>
      <c r="H231" s="90">
        <v>5000</v>
      </c>
      <c r="I231" s="90">
        <v>9300</v>
      </c>
      <c r="J231" s="90">
        <v>2800</v>
      </c>
      <c r="K231" s="90">
        <v>2500</v>
      </c>
      <c r="L231" s="90"/>
      <c r="M231" s="90"/>
      <c r="N231" s="90"/>
      <c r="O231" s="90">
        <f t="shared" si="8"/>
        <v>2500</v>
      </c>
    </row>
    <row r="232" spans="1:16" ht="24">
      <c r="A232" s="89">
        <v>230</v>
      </c>
      <c r="B232" s="89" t="s">
        <v>286</v>
      </c>
      <c r="C232" s="89" t="s">
        <v>534</v>
      </c>
      <c r="D232" s="89" t="s">
        <v>130</v>
      </c>
      <c r="E232" s="89">
        <v>124</v>
      </c>
      <c r="F232" s="89" t="s">
        <v>75</v>
      </c>
      <c r="G232" s="89"/>
      <c r="H232" s="89">
        <v>5000</v>
      </c>
      <c r="I232" s="89">
        <v>9300</v>
      </c>
      <c r="J232" s="89">
        <v>2500</v>
      </c>
      <c r="K232" s="89">
        <v>5000</v>
      </c>
      <c r="L232" s="89"/>
      <c r="M232" s="89"/>
      <c r="N232" s="89"/>
      <c r="O232" s="89">
        <f t="shared" si="8"/>
        <v>5000</v>
      </c>
    </row>
    <row r="233" spans="1:16" ht="24">
      <c r="A233" s="116">
        <v>231</v>
      </c>
      <c r="B233" s="116" t="s">
        <v>287</v>
      </c>
      <c r="C233" s="90" t="s">
        <v>473</v>
      </c>
      <c r="D233" s="90" t="s">
        <v>130</v>
      </c>
      <c r="E233" s="90">
        <v>125</v>
      </c>
      <c r="F233" s="90" t="s">
        <v>76</v>
      </c>
      <c r="G233" s="90"/>
      <c r="H233" s="90">
        <v>0</v>
      </c>
      <c r="I233" s="90">
        <v>0</v>
      </c>
      <c r="J233" s="90">
        <v>2500</v>
      </c>
      <c r="K233" s="90">
        <v>0</v>
      </c>
      <c r="L233" s="90"/>
      <c r="M233" s="90"/>
      <c r="N233" s="90"/>
      <c r="O233" s="90">
        <f t="shared" si="8"/>
        <v>0</v>
      </c>
    </row>
    <row r="234" spans="1:16">
      <c r="A234" s="89">
        <v>232</v>
      </c>
      <c r="B234" s="89" t="s">
        <v>288</v>
      </c>
      <c r="C234" s="89" t="s">
        <v>535</v>
      </c>
      <c r="D234" s="89" t="s">
        <v>130</v>
      </c>
      <c r="E234" s="89">
        <v>126</v>
      </c>
      <c r="F234" s="89" t="s">
        <v>75</v>
      </c>
      <c r="G234" s="89"/>
      <c r="H234" s="89">
        <v>5000</v>
      </c>
      <c r="I234" s="89">
        <v>9300</v>
      </c>
      <c r="J234" s="89">
        <v>5000</v>
      </c>
      <c r="K234" s="89">
        <v>5000</v>
      </c>
      <c r="L234" s="89"/>
      <c r="M234" s="89"/>
      <c r="N234" s="89"/>
      <c r="O234" s="89">
        <f t="shared" si="8"/>
        <v>5000</v>
      </c>
    </row>
    <row r="235" spans="1:16" ht="24">
      <c r="A235" s="90">
        <v>233</v>
      </c>
      <c r="B235" s="90" t="s">
        <v>289</v>
      </c>
      <c r="C235" s="90" t="s">
        <v>396</v>
      </c>
      <c r="D235" s="90" t="s">
        <v>130</v>
      </c>
      <c r="E235" s="90">
        <v>127</v>
      </c>
      <c r="F235" s="90" t="s">
        <v>75</v>
      </c>
      <c r="G235" s="90"/>
      <c r="H235" s="90">
        <v>5000</v>
      </c>
      <c r="I235" s="90">
        <v>9300</v>
      </c>
      <c r="J235" s="90">
        <v>3600</v>
      </c>
      <c r="K235" s="90">
        <v>5000</v>
      </c>
      <c r="L235" s="90"/>
      <c r="M235" s="90"/>
      <c r="N235" s="90"/>
      <c r="O235" s="90">
        <f t="shared" si="8"/>
        <v>5000</v>
      </c>
    </row>
    <row r="236" spans="1:16" ht="24">
      <c r="A236" s="89">
        <v>234</v>
      </c>
      <c r="B236" s="89" t="s">
        <v>290</v>
      </c>
      <c r="C236" s="89" t="s">
        <v>536</v>
      </c>
      <c r="D236" s="89" t="s">
        <v>130</v>
      </c>
      <c r="E236" s="89">
        <v>128</v>
      </c>
      <c r="F236" s="89" t="s">
        <v>75</v>
      </c>
      <c r="G236" s="89"/>
      <c r="H236" s="89">
        <v>5000</v>
      </c>
      <c r="I236" s="89">
        <v>9300</v>
      </c>
      <c r="J236" s="89">
        <v>2500</v>
      </c>
      <c r="K236" s="89">
        <v>5000</v>
      </c>
      <c r="L236" s="89"/>
      <c r="M236" s="89"/>
      <c r="N236" s="89"/>
      <c r="O236" s="89">
        <f t="shared" si="8"/>
        <v>5000</v>
      </c>
    </row>
    <row r="237" spans="1:16" ht="36">
      <c r="A237" s="90">
        <v>235</v>
      </c>
      <c r="B237" s="90" t="s">
        <v>291</v>
      </c>
      <c r="C237" s="90" t="s">
        <v>397</v>
      </c>
      <c r="D237" s="90" t="s">
        <v>130</v>
      </c>
      <c r="E237" s="90">
        <v>129</v>
      </c>
      <c r="F237" s="90" t="s">
        <v>75</v>
      </c>
      <c r="G237" s="90">
        <v>9694828385</v>
      </c>
      <c r="H237" s="90">
        <v>15000</v>
      </c>
      <c r="I237" s="90">
        <v>9300</v>
      </c>
      <c r="J237" s="90">
        <v>5000</v>
      </c>
      <c r="K237" s="90">
        <v>7000</v>
      </c>
      <c r="L237" s="90"/>
      <c r="M237" s="90"/>
      <c r="N237" s="90"/>
      <c r="O237" s="90">
        <f t="shared" si="8"/>
        <v>7000</v>
      </c>
    </row>
    <row r="238" spans="1:16" ht="24">
      <c r="A238" s="90">
        <v>236</v>
      </c>
      <c r="B238" s="90" t="s">
        <v>292</v>
      </c>
      <c r="C238" s="90"/>
      <c r="D238" s="90" t="s">
        <v>130</v>
      </c>
      <c r="E238" s="90">
        <v>129</v>
      </c>
      <c r="F238" s="90" t="s">
        <v>75</v>
      </c>
      <c r="G238" s="90"/>
      <c r="H238" s="90"/>
      <c r="I238" s="90">
        <v>9300</v>
      </c>
      <c r="J238" s="90">
        <v>5000</v>
      </c>
      <c r="K238" s="90"/>
      <c r="L238" s="90"/>
      <c r="M238" s="90"/>
      <c r="N238" s="90"/>
      <c r="O238" s="90">
        <f t="shared" si="8"/>
        <v>0</v>
      </c>
    </row>
    <row r="239" spans="1:16" ht="24">
      <c r="A239" s="90">
        <v>237</v>
      </c>
      <c r="B239" s="90" t="s">
        <v>293</v>
      </c>
      <c r="C239" s="90"/>
      <c r="D239" s="90" t="s">
        <v>130</v>
      </c>
      <c r="E239" s="90">
        <v>129</v>
      </c>
      <c r="F239" s="90" t="s">
        <v>75</v>
      </c>
      <c r="G239" s="90"/>
      <c r="H239" s="90"/>
      <c r="I239" s="90">
        <v>9300</v>
      </c>
      <c r="J239" s="90">
        <v>5000</v>
      </c>
      <c r="K239" s="90"/>
      <c r="L239" s="90"/>
      <c r="M239" s="90"/>
      <c r="N239" s="90"/>
      <c r="O239" s="90"/>
    </row>
    <row r="240" spans="1:16" ht="24">
      <c r="A240" s="89">
        <v>238</v>
      </c>
      <c r="B240" s="89" t="s">
        <v>294</v>
      </c>
      <c r="C240" s="89" t="s">
        <v>398</v>
      </c>
      <c r="D240" s="89" t="s">
        <v>130</v>
      </c>
      <c r="E240" s="89">
        <v>130</v>
      </c>
      <c r="F240" s="89" t="s">
        <v>75</v>
      </c>
      <c r="G240" s="89">
        <v>9828388937</v>
      </c>
      <c r="H240" s="89">
        <v>5000</v>
      </c>
      <c r="I240" s="89">
        <v>9300</v>
      </c>
      <c r="J240" s="89">
        <v>2500</v>
      </c>
      <c r="K240" s="89">
        <v>5000</v>
      </c>
      <c r="L240" s="89"/>
      <c r="M240" s="89"/>
      <c r="N240" s="89"/>
      <c r="O240" s="89">
        <f t="shared" ref="O240:O246" si="9">K240+L240-M240</f>
        <v>5000</v>
      </c>
    </row>
    <row r="241" spans="1:15" ht="48">
      <c r="A241" s="90">
        <v>239</v>
      </c>
      <c r="B241" s="90" t="s">
        <v>295</v>
      </c>
      <c r="C241" s="90" t="s">
        <v>399</v>
      </c>
      <c r="D241" s="90" t="s">
        <v>130</v>
      </c>
      <c r="E241" s="90">
        <v>131</v>
      </c>
      <c r="F241" s="90" t="s">
        <v>75</v>
      </c>
      <c r="G241" s="90">
        <v>8504846672</v>
      </c>
      <c r="H241" s="90">
        <v>5500</v>
      </c>
      <c r="I241" s="90">
        <v>9300</v>
      </c>
      <c r="J241" s="90">
        <v>0</v>
      </c>
      <c r="K241" s="90">
        <v>0</v>
      </c>
      <c r="L241" s="90"/>
      <c r="M241" s="90"/>
      <c r="N241" s="90"/>
      <c r="O241" s="90">
        <f t="shared" si="9"/>
        <v>0</v>
      </c>
    </row>
    <row r="242" spans="1:15" ht="24">
      <c r="A242" s="89">
        <v>240</v>
      </c>
      <c r="B242" s="89" t="s">
        <v>296</v>
      </c>
      <c r="C242" s="89" t="s">
        <v>402</v>
      </c>
      <c r="D242" s="89" t="s">
        <v>130</v>
      </c>
      <c r="E242" s="89">
        <v>132</v>
      </c>
      <c r="F242" s="89" t="s">
        <v>75</v>
      </c>
      <c r="G242" s="89">
        <v>9799548961</v>
      </c>
      <c r="H242" s="89">
        <v>5000</v>
      </c>
      <c r="I242" s="89">
        <v>9300</v>
      </c>
      <c r="J242" s="89">
        <v>2500</v>
      </c>
      <c r="K242" s="89">
        <v>0</v>
      </c>
      <c r="L242" s="89"/>
      <c r="M242" s="89"/>
      <c r="N242" s="89"/>
      <c r="O242" s="89">
        <f t="shared" si="9"/>
        <v>0</v>
      </c>
    </row>
    <row r="243" spans="1:15" ht="24">
      <c r="A243" s="90">
        <v>241</v>
      </c>
      <c r="B243" s="90" t="s">
        <v>297</v>
      </c>
      <c r="C243" s="90" t="s">
        <v>537</v>
      </c>
      <c r="D243" s="90" t="s">
        <v>130</v>
      </c>
      <c r="E243" s="90">
        <v>133</v>
      </c>
      <c r="F243" s="90" t="s">
        <v>75</v>
      </c>
      <c r="G243" s="90"/>
      <c r="H243" s="90">
        <v>0</v>
      </c>
      <c r="I243" s="90">
        <v>9300</v>
      </c>
      <c r="J243" s="90">
        <v>0</v>
      </c>
      <c r="K243" s="90">
        <v>0</v>
      </c>
      <c r="L243" s="90"/>
      <c r="M243" s="90"/>
      <c r="N243" s="90"/>
      <c r="O243" s="90">
        <f t="shared" si="9"/>
        <v>0</v>
      </c>
    </row>
    <row r="244" spans="1:15" ht="24">
      <c r="A244" s="89">
        <v>242</v>
      </c>
      <c r="B244" s="89" t="s">
        <v>298</v>
      </c>
      <c r="C244" s="89" t="s">
        <v>403</v>
      </c>
      <c r="D244" s="89" t="s">
        <v>130</v>
      </c>
      <c r="E244" s="89">
        <v>134</v>
      </c>
      <c r="F244" s="89" t="s">
        <v>75</v>
      </c>
      <c r="G244" s="89">
        <v>9828965753</v>
      </c>
      <c r="H244" s="89">
        <v>3500</v>
      </c>
      <c r="I244" s="89">
        <v>9300</v>
      </c>
      <c r="J244" s="89">
        <v>0</v>
      </c>
      <c r="K244" s="89">
        <v>0</v>
      </c>
      <c r="L244" s="89"/>
      <c r="M244" s="89"/>
      <c r="N244" s="89"/>
      <c r="O244" s="89">
        <f t="shared" si="9"/>
        <v>0</v>
      </c>
    </row>
    <row r="245" spans="1:15" ht="60">
      <c r="A245" s="90">
        <v>243</v>
      </c>
      <c r="B245" s="90" t="s">
        <v>400</v>
      </c>
      <c r="C245" s="90" t="s">
        <v>401</v>
      </c>
      <c r="D245" s="90" t="s">
        <v>130</v>
      </c>
      <c r="E245" s="90">
        <v>135</v>
      </c>
      <c r="F245" s="90"/>
      <c r="G245" s="90">
        <v>9665146156</v>
      </c>
      <c r="H245" s="90">
        <v>5000</v>
      </c>
      <c r="I245" s="90">
        <v>9300</v>
      </c>
      <c r="J245" s="90">
        <v>0</v>
      </c>
      <c r="K245" s="90">
        <v>1500</v>
      </c>
      <c r="L245" s="90"/>
      <c r="M245" s="90"/>
      <c r="N245" s="90"/>
      <c r="O245" s="90">
        <f t="shared" si="9"/>
        <v>1500</v>
      </c>
    </row>
    <row r="246" spans="1:15" ht="36">
      <c r="A246" s="89">
        <v>245</v>
      </c>
      <c r="B246" s="89" t="s">
        <v>148</v>
      </c>
      <c r="C246" s="89" t="s">
        <v>538</v>
      </c>
      <c r="D246" s="89" t="s">
        <v>130</v>
      </c>
      <c r="E246" s="89">
        <v>136</v>
      </c>
      <c r="F246" s="89"/>
      <c r="G246" s="89"/>
      <c r="H246" s="89">
        <v>3000</v>
      </c>
      <c r="I246" s="89">
        <v>9300</v>
      </c>
      <c r="J246" s="89">
        <v>3000</v>
      </c>
      <c r="K246" s="89">
        <v>3000</v>
      </c>
      <c r="L246" s="89"/>
      <c r="M246" s="89"/>
      <c r="N246" s="89"/>
      <c r="O246" s="89">
        <f t="shared" si="9"/>
        <v>3000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S246"/>
  <sheetViews>
    <sheetView workbookViewId="0">
      <selection activeCell="C81" sqref="C81"/>
    </sheetView>
  </sheetViews>
  <sheetFormatPr defaultColWidth="8.7109375" defaultRowHeight="12"/>
  <cols>
    <col min="1" max="1" width="3.28515625" style="96" bestFit="1" customWidth="1"/>
    <col min="2" max="2" width="9.28515625" style="96" customWidth="1"/>
    <col min="3" max="3" width="11" style="96" customWidth="1"/>
    <col min="4" max="4" width="3.85546875" style="96" bestFit="1" customWidth="1"/>
    <col min="5" max="5" width="3.28515625" style="96" bestFit="1" customWidth="1"/>
    <col min="6" max="6" width="3.42578125" style="96" bestFit="1" customWidth="1"/>
    <col min="7" max="7" width="9.42578125" style="96" bestFit="1" customWidth="1"/>
    <col min="8" max="8" width="6.28515625" style="96" bestFit="1" customWidth="1"/>
    <col min="9" max="9" width="7.28515625" style="96" customWidth="1"/>
    <col min="10" max="10" width="8.140625" style="96" customWidth="1"/>
    <col min="11" max="11" width="6.28515625" style="96" bestFit="1" customWidth="1"/>
    <col min="12" max="12" width="6.5703125" style="96" bestFit="1" customWidth="1"/>
    <col min="13" max="13" width="7.5703125" style="96" bestFit="1" customWidth="1"/>
    <col min="14" max="14" width="7.85546875" style="96" customWidth="1"/>
    <col min="15" max="15" width="7.28515625" style="96" bestFit="1" customWidth="1"/>
    <col min="16" max="16384" width="8.7109375" style="96"/>
  </cols>
  <sheetData>
    <row r="1" spans="1:19" ht="47.1" customHeight="1">
      <c r="A1" s="86" t="s">
        <v>458</v>
      </c>
      <c r="B1" s="86" t="s">
        <v>61</v>
      </c>
      <c r="C1" s="86" t="s">
        <v>423</v>
      </c>
      <c r="D1" s="86" t="s">
        <v>420</v>
      </c>
      <c r="E1" s="86" t="s">
        <v>421</v>
      </c>
      <c r="F1" s="86" t="s">
        <v>74</v>
      </c>
      <c r="G1" s="86" t="s">
        <v>62</v>
      </c>
      <c r="H1" s="86" t="s">
        <v>498</v>
      </c>
      <c r="I1" s="86" t="s">
        <v>499</v>
      </c>
      <c r="J1" s="86" t="s">
        <v>470</v>
      </c>
      <c r="K1" s="86" t="s">
        <v>422</v>
      </c>
      <c r="L1" s="86" t="s">
        <v>500</v>
      </c>
      <c r="M1" s="86" t="s">
        <v>501</v>
      </c>
      <c r="N1" s="97" t="s">
        <v>299</v>
      </c>
      <c r="O1" s="98" t="s">
        <v>457</v>
      </c>
      <c r="R1" s="96" t="s">
        <v>514</v>
      </c>
      <c r="S1" s="96">
        <v>37500</v>
      </c>
    </row>
    <row r="2" spans="1:19">
      <c r="A2" s="87"/>
      <c r="B2" s="87"/>
      <c r="C2" s="87"/>
      <c r="D2" s="87"/>
      <c r="E2" s="87"/>
      <c r="F2" s="87"/>
      <c r="G2" s="87"/>
      <c r="H2" s="87"/>
      <c r="I2" s="87">
        <f>SUM(I3:I301)</f>
        <v>3109800</v>
      </c>
      <c r="J2" s="87">
        <f>SUM(J3:J301)</f>
        <v>750300</v>
      </c>
      <c r="K2" s="87">
        <f>SUM(K3:K245)</f>
        <v>532400</v>
      </c>
      <c r="L2" s="87">
        <f>SUM(L3:L245)</f>
        <v>0</v>
      </c>
      <c r="M2" s="87">
        <f>SUM(M3:M245)</f>
        <v>61500</v>
      </c>
      <c r="N2" s="98">
        <f>K2+L2</f>
        <v>532400</v>
      </c>
      <c r="O2" s="98">
        <f>K2+L2-M2</f>
        <v>470900</v>
      </c>
      <c r="R2" s="96" t="s">
        <v>502</v>
      </c>
      <c r="S2" s="96">
        <v>28000</v>
      </c>
    </row>
    <row r="3" spans="1:19" ht="24">
      <c r="A3" s="88">
        <v>1</v>
      </c>
      <c r="B3" s="91" t="s">
        <v>63</v>
      </c>
      <c r="C3" s="88"/>
      <c r="D3" s="88">
        <v>11</v>
      </c>
      <c r="E3" s="88">
        <v>1</v>
      </c>
      <c r="F3" s="88" t="s">
        <v>75</v>
      </c>
      <c r="G3" s="88"/>
      <c r="H3" s="88">
        <v>25000</v>
      </c>
      <c r="I3" s="88">
        <v>37500</v>
      </c>
      <c r="J3" s="88">
        <v>3000</v>
      </c>
      <c r="K3" s="88">
        <v>0</v>
      </c>
      <c r="L3" s="88"/>
      <c r="M3" s="88"/>
      <c r="N3" s="88"/>
      <c r="O3" s="88">
        <f>K3+L3-M3</f>
        <v>0</v>
      </c>
      <c r="R3" s="96" t="s">
        <v>503</v>
      </c>
      <c r="S3" s="96">
        <v>25000</v>
      </c>
    </row>
    <row r="4" spans="1:19" ht="24">
      <c r="A4" s="88">
        <v>2</v>
      </c>
      <c r="B4" s="88" t="s">
        <v>64</v>
      </c>
      <c r="C4" s="88"/>
      <c r="D4" s="88">
        <v>9</v>
      </c>
      <c r="E4" s="88">
        <v>1</v>
      </c>
      <c r="F4" s="88" t="s">
        <v>75</v>
      </c>
      <c r="G4" s="88"/>
      <c r="H4" s="88"/>
      <c r="I4" s="88">
        <v>25000</v>
      </c>
      <c r="J4" s="88">
        <v>3000</v>
      </c>
      <c r="K4" s="88">
        <v>0</v>
      </c>
      <c r="L4" s="88"/>
      <c r="M4" s="88"/>
      <c r="N4" s="88"/>
      <c r="O4" s="88"/>
      <c r="R4" s="96" t="s">
        <v>504</v>
      </c>
      <c r="S4" s="96">
        <v>18700</v>
      </c>
    </row>
    <row r="5" spans="1:19" ht="24">
      <c r="A5" s="89">
        <v>3</v>
      </c>
      <c r="B5" s="91" t="s">
        <v>65</v>
      </c>
      <c r="C5" s="89"/>
      <c r="D5" s="89">
        <v>11</v>
      </c>
      <c r="E5" s="89">
        <v>2</v>
      </c>
      <c r="F5" s="89" t="s">
        <v>75</v>
      </c>
      <c r="G5" s="89">
        <v>9929971015</v>
      </c>
      <c r="H5" s="89">
        <v>45000</v>
      </c>
      <c r="I5" s="89">
        <v>37500</v>
      </c>
      <c r="J5" s="89">
        <v>4200</v>
      </c>
      <c r="K5" s="126">
        <v>28000</v>
      </c>
      <c r="L5" s="89"/>
      <c r="M5" s="89">
        <v>5000</v>
      </c>
      <c r="N5" s="89"/>
      <c r="O5" s="89">
        <f>K5+L5-M5</f>
        <v>23000</v>
      </c>
      <c r="R5" s="96" t="s">
        <v>505</v>
      </c>
      <c r="S5" s="96">
        <v>15900</v>
      </c>
    </row>
    <row r="6" spans="1:19" ht="24">
      <c r="A6" s="89">
        <v>4</v>
      </c>
      <c r="B6" s="89" t="s">
        <v>66</v>
      </c>
      <c r="C6" s="89"/>
      <c r="D6" s="89">
        <v>6</v>
      </c>
      <c r="E6" s="89">
        <v>2</v>
      </c>
      <c r="F6" s="89" t="s">
        <v>75</v>
      </c>
      <c r="G6" s="89"/>
      <c r="H6" s="89"/>
      <c r="I6" s="89">
        <v>14700</v>
      </c>
      <c r="J6" s="89">
        <v>4200</v>
      </c>
      <c r="K6" s="89"/>
      <c r="L6" s="89"/>
      <c r="M6" s="89"/>
      <c r="N6" s="89"/>
      <c r="O6" s="89"/>
      <c r="R6" s="96" t="s">
        <v>506</v>
      </c>
      <c r="S6" s="96">
        <v>14700</v>
      </c>
    </row>
    <row r="7" spans="1:19" ht="24">
      <c r="A7" s="90">
        <v>5</v>
      </c>
      <c r="B7" s="91" t="s">
        <v>67</v>
      </c>
      <c r="C7" s="90"/>
      <c r="D7" s="90">
        <v>11</v>
      </c>
      <c r="E7" s="90">
        <v>3</v>
      </c>
      <c r="F7" s="90" t="s">
        <v>75</v>
      </c>
      <c r="G7" s="90">
        <v>9982449656</v>
      </c>
      <c r="H7" s="90">
        <v>25000</v>
      </c>
      <c r="I7" s="90">
        <v>37500</v>
      </c>
      <c r="J7" s="90">
        <v>2800</v>
      </c>
      <c r="K7" s="127">
        <v>10000</v>
      </c>
      <c r="L7" s="90"/>
      <c r="M7" s="90">
        <v>10000</v>
      </c>
      <c r="N7" s="90"/>
      <c r="O7" s="90">
        <f>K7+L7-M7</f>
        <v>0</v>
      </c>
      <c r="R7" s="96" t="s">
        <v>507</v>
      </c>
      <c r="S7" s="96">
        <v>14200</v>
      </c>
    </row>
    <row r="8" spans="1:19" ht="24">
      <c r="A8" s="90">
        <v>6</v>
      </c>
      <c r="B8" s="90" t="s">
        <v>68</v>
      </c>
      <c r="C8" s="90"/>
      <c r="D8" s="90">
        <v>6</v>
      </c>
      <c r="E8" s="90">
        <v>3</v>
      </c>
      <c r="F8" s="90" t="s">
        <v>75</v>
      </c>
      <c r="G8" s="90"/>
      <c r="H8" s="90"/>
      <c r="I8" s="90">
        <v>14700</v>
      </c>
      <c r="J8" s="90">
        <v>2800</v>
      </c>
      <c r="K8" s="90">
        <v>0</v>
      </c>
      <c r="L8" s="90"/>
      <c r="M8" s="90"/>
      <c r="N8" s="90"/>
      <c r="O8" s="90"/>
      <c r="R8" s="96" t="s">
        <v>508</v>
      </c>
      <c r="S8" s="96">
        <v>13900</v>
      </c>
    </row>
    <row r="9" spans="1:19" ht="24">
      <c r="A9" s="89">
        <v>7</v>
      </c>
      <c r="B9" s="91" t="s">
        <v>69</v>
      </c>
      <c r="C9" s="89"/>
      <c r="D9" s="89">
        <v>11</v>
      </c>
      <c r="E9" s="89">
        <v>4</v>
      </c>
      <c r="F9" s="89" t="s">
        <v>75</v>
      </c>
      <c r="G9" s="89">
        <v>9982539105</v>
      </c>
      <c r="H9" s="89">
        <v>25000</v>
      </c>
      <c r="I9" s="89">
        <v>37500</v>
      </c>
      <c r="J9" s="89">
        <v>2800</v>
      </c>
      <c r="K9" s="126">
        <v>12000</v>
      </c>
      <c r="L9" s="89"/>
      <c r="M9" s="89"/>
      <c r="N9" s="89"/>
      <c r="O9" s="89">
        <f>K9+L9-M9</f>
        <v>12000</v>
      </c>
      <c r="R9" s="96" t="s">
        <v>509</v>
      </c>
      <c r="S9" s="96">
        <v>13300</v>
      </c>
    </row>
    <row r="10" spans="1:19" ht="24">
      <c r="A10" s="121">
        <v>8</v>
      </c>
      <c r="B10" s="121" t="s">
        <v>70</v>
      </c>
      <c r="C10" s="121"/>
      <c r="D10" s="121">
        <v>10</v>
      </c>
      <c r="E10" s="121">
        <v>5</v>
      </c>
      <c r="F10" s="121" t="s">
        <v>75</v>
      </c>
      <c r="G10" s="121">
        <v>9772800949</v>
      </c>
      <c r="H10" s="121">
        <v>32000</v>
      </c>
      <c r="I10" s="121">
        <v>28000</v>
      </c>
      <c r="J10" s="121">
        <v>2200</v>
      </c>
      <c r="K10" s="121">
        <v>0</v>
      </c>
      <c r="L10" s="121"/>
      <c r="M10" s="121"/>
      <c r="N10" s="121"/>
      <c r="O10" s="121">
        <f>K10+L10-M10</f>
        <v>0</v>
      </c>
      <c r="R10" s="96" t="s">
        <v>510</v>
      </c>
      <c r="S10" s="96">
        <v>12000</v>
      </c>
    </row>
    <row r="11" spans="1:19" ht="24">
      <c r="A11" s="121">
        <v>9</v>
      </c>
      <c r="B11" s="121" t="s">
        <v>71</v>
      </c>
      <c r="C11" s="121"/>
      <c r="D11" s="121">
        <v>10</v>
      </c>
      <c r="E11" s="121">
        <v>5</v>
      </c>
      <c r="F11" s="121" t="s">
        <v>75</v>
      </c>
      <c r="G11" s="121"/>
      <c r="H11" s="121"/>
      <c r="I11" s="121">
        <v>28000</v>
      </c>
      <c r="J11" s="121">
        <v>2200</v>
      </c>
      <c r="K11" s="121"/>
      <c r="L11" s="121"/>
      <c r="M11" s="121"/>
      <c r="N11" s="121"/>
      <c r="O11" s="121"/>
      <c r="R11" s="96" t="s">
        <v>511</v>
      </c>
      <c r="S11" s="96">
        <v>11500</v>
      </c>
    </row>
    <row r="12" spans="1:19" ht="24">
      <c r="A12" s="89">
        <v>10</v>
      </c>
      <c r="B12" s="89" t="s">
        <v>72</v>
      </c>
      <c r="C12" s="89" t="s">
        <v>411</v>
      </c>
      <c r="D12" s="89">
        <v>10</v>
      </c>
      <c r="E12" s="89">
        <v>6</v>
      </c>
      <c r="F12" s="89" t="s">
        <v>75</v>
      </c>
      <c r="G12" s="89">
        <v>8003030009</v>
      </c>
      <c r="H12" s="89">
        <v>25000</v>
      </c>
      <c r="I12" s="89">
        <v>28000</v>
      </c>
      <c r="J12" s="89">
        <v>2700</v>
      </c>
      <c r="K12" s="89">
        <v>9000</v>
      </c>
      <c r="L12" s="89"/>
      <c r="M12" s="89"/>
      <c r="N12" s="89"/>
      <c r="O12" s="89">
        <f>K12+L12-M12</f>
        <v>9000</v>
      </c>
      <c r="R12" s="96" t="s">
        <v>512</v>
      </c>
      <c r="S12" s="96">
        <v>9800</v>
      </c>
    </row>
    <row r="13" spans="1:19" ht="24">
      <c r="A13" s="89">
        <v>11</v>
      </c>
      <c r="B13" s="89" t="s">
        <v>73</v>
      </c>
      <c r="C13" s="89"/>
      <c r="D13" s="89">
        <v>7</v>
      </c>
      <c r="E13" s="89">
        <v>6</v>
      </c>
      <c r="F13" s="89" t="s">
        <v>76</v>
      </c>
      <c r="G13" s="89"/>
      <c r="H13" s="89"/>
      <c r="I13" s="89">
        <v>0</v>
      </c>
      <c r="J13" s="89">
        <v>2700</v>
      </c>
      <c r="K13" s="89">
        <v>0</v>
      </c>
      <c r="L13" s="89"/>
      <c r="M13" s="89"/>
      <c r="N13" s="89"/>
      <c r="O13" s="89"/>
      <c r="Q13" s="99"/>
      <c r="R13" s="96" t="s">
        <v>513</v>
      </c>
      <c r="S13" s="96">
        <v>9300</v>
      </c>
    </row>
    <row r="14" spans="1:19" ht="24">
      <c r="A14" s="121">
        <v>12</v>
      </c>
      <c r="B14" s="121" t="s">
        <v>77</v>
      </c>
      <c r="C14" s="121" t="s">
        <v>412</v>
      </c>
      <c r="D14" s="121">
        <v>10</v>
      </c>
      <c r="E14" s="121">
        <v>7</v>
      </c>
      <c r="F14" s="121" t="s">
        <v>75</v>
      </c>
      <c r="G14" s="121">
        <v>9587882014</v>
      </c>
      <c r="H14" s="121">
        <v>20000</v>
      </c>
      <c r="I14" s="121">
        <v>28000</v>
      </c>
      <c r="J14" s="121">
        <v>2500</v>
      </c>
      <c r="K14" s="121">
        <v>0</v>
      </c>
      <c r="L14" s="121"/>
      <c r="M14" s="121"/>
      <c r="N14" s="121"/>
      <c r="O14" s="121">
        <f>K14+L14-M14</f>
        <v>0</v>
      </c>
      <c r="Q14" s="99"/>
      <c r="R14" s="96" t="s">
        <v>98</v>
      </c>
      <c r="S14" s="96">
        <v>8500</v>
      </c>
    </row>
    <row r="15" spans="1:19" ht="24">
      <c r="A15" s="121">
        <v>13</v>
      </c>
      <c r="B15" s="121" t="s">
        <v>78</v>
      </c>
      <c r="C15" s="121"/>
      <c r="D15" s="121">
        <v>9</v>
      </c>
      <c r="E15" s="121">
        <v>7</v>
      </c>
      <c r="F15" s="121" t="s">
        <v>75</v>
      </c>
      <c r="G15" s="121"/>
      <c r="H15" s="121"/>
      <c r="I15" s="121">
        <v>25000</v>
      </c>
      <c r="J15" s="121">
        <v>2500</v>
      </c>
      <c r="K15" s="121"/>
      <c r="L15" s="121"/>
      <c r="M15" s="121"/>
      <c r="N15" s="121"/>
      <c r="O15" s="121"/>
      <c r="Q15" s="99"/>
    </row>
    <row r="16" spans="1:19" ht="24">
      <c r="A16" s="89">
        <v>14</v>
      </c>
      <c r="B16" s="89" t="s">
        <v>79</v>
      </c>
      <c r="C16" s="89" t="s">
        <v>414</v>
      </c>
      <c r="D16" s="89">
        <v>10</v>
      </c>
      <c r="E16" s="89">
        <v>8</v>
      </c>
      <c r="F16" s="89" t="s">
        <v>75</v>
      </c>
      <c r="G16" s="89">
        <v>9783279223</v>
      </c>
      <c r="H16" s="89">
        <v>55000</v>
      </c>
      <c r="I16" s="89">
        <v>28000</v>
      </c>
      <c r="J16" s="89">
        <v>3000</v>
      </c>
      <c r="K16" s="89">
        <v>0</v>
      </c>
      <c r="L16" s="89"/>
      <c r="M16" s="89"/>
      <c r="N16" s="89"/>
      <c r="O16" s="89">
        <f>K16+L16-M16</f>
        <v>0</v>
      </c>
      <c r="Q16" s="99"/>
    </row>
    <row r="17" spans="1:17" ht="24">
      <c r="A17" s="89">
        <v>15</v>
      </c>
      <c r="B17" s="89" t="s">
        <v>81</v>
      </c>
      <c r="C17" s="89"/>
      <c r="D17" s="89">
        <v>9</v>
      </c>
      <c r="E17" s="89">
        <v>8</v>
      </c>
      <c r="F17" s="89" t="s">
        <v>75</v>
      </c>
      <c r="G17" s="89"/>
      <c r="H17" s="89"/>
      <c r="I17" s="89">
        <v>25000</v>
      </c>
      <c r="J17" s="89">
        <v>3000</v>
      </c>
      <c r="K17" s="89">
        <v>0</v>
      </c>
      <c r="L17" s="89"/>
      <c r="M17" s="89"/>
      <c r="N17" s="89"/>
      <c r="O17" s="89"/>
      <c r="Q17" s="99"/>
    </row>
    <row r="18" spans="1:17" ht="24">
      <c r="A18" s="89">
        <v>16</v>
      </c>
      <c r="B18" s="89" t="s">
        <v>82</v>
      </c>
      <c r="C18" s="89"/>
      <c r="D18" s="89">
        <v>9</v>
      </c>
      <c r="E18" s="89">
        <v>8</v>
      </c>
      <c r="F18" s="89" t="s">
        <v>75</v>
      </c>
      <c r="G18" s="89"/>
      <c r="H18" s="89"/>
      <c r="I18" s="89">
        <v>25000</v>
      </c>
      <c r="J18" s="89">
        <v>3000</v>
      </c>
      <c r="K18" s="89">
        <v>0</v>
      </c>
      <c r="L18" s="89"/>
      <c r="M18" s="89"/>
      <c r="N18" s="89"/>
      <c r="O18" s="89"/>
      <c r="Q18" s="99"/>
    </row>
    <row r="19" spans="1:17" ht="24">
      <c r="A19" s="89">
        <v>17</v>
      </c>
      <c r="B19" s="89" t="s">
        <v>80</v>
      </c>
      <c r="C19" s="89"/>
      <c r="D19" s="89">
        <v>6</v>
      </c>
      <c r="E19" s="89">
        <v>8</v>
      </c>
      <c r="F19" s="89" t="s">
        <v>75</v>
      </c>
      <c r="G19" s="89"/>
      <c r="H19" s="89"/>
      <c r="I19" s="89">
        <v>14700</v>
      </c>
      <c r="J19" s="89">
        <v>3000</v>
      </c>
      <c r="K19" s="89">
        <v>0</v>
      </c>
      <c r="L19" s="89"/>
      <c r="M19" s="89"/>
      <c r="N19" s="89"/>
      <c r="O19" s="89"/>
      <c r="Q19" s="99"/>
    </row>
    <row r="20" spans="1:17" ht="24">
      <c r="A20" s="90">
        <v>18</v>
      </c>
      <c r="B20" s="90" t="s">
        <v>83</v>
      </c>
      <c r="C20" s="90" t="s">
        <v>413</v>
      </c>
      <c r="D20" s="90">
        <v>10</v>
      </c>
      <c r="E20" s="90">
        <v>9</v>
      </c>
      <c r="F20" s="90" t="s">
        <v>75</v>
      </c>
      <c r="G20" s="90">
        <v>8890497030</v>
      </c>
      <c r="H20" s="90">
        <v>18000</v>
      </c>
      <c r="I20" s="90">
        <v>28000</v>
      </c>
      <c r="J20" s="90">
        <v>5000</v>
      </c>
      <c r="K20" s="90">
        <v>5000</v>
      </c>
      <c r="L20" s="90"/>
      <c r="M20" s="90"/>
      <c r="N20" s="90"/>
      <c r="O20" s="90">
        <f>K20+L20-M20</f>
        <v>5000</v>
      </c>
    </row>
    <row r="21" spans="1:17" ht="24">
      <c r="A21" s="121">
        <v>19</v>
      </c>
      <c r="B21" s="121" t="s">
        <v>84</v>
      </c>
      <c r="C21" s="121" t="s">
        <v>300</v>
      </c>
      <c r="D21" s="121">
        <v>9</v>
      </c>
      <c r="E21" s="121">
        <v>10</v>
      </c>
      <c r="F21" s="121" t="s">
        <v>75</v>
      </c>
      <c r="G21" s="121">
        <v>9983047221</v>
      </c>
      <c r="H21" s="121">
        <v>25000</v>
      </c>
      <c r="I21" s="121">
        <v>25000</v>
      </c>
      <c r="J21" s="121">
        <v>5000</v>
      </c>
      <c r="K21" s="121">
        <v>0</v>
      </c>
      <c r="L21" s="121"/>
      <c r="M21" s="121"/>
      <c r="N21" s="121"/>
      <c r="O21" s="121">
        <f>K21+L21-M21</f>
        <v>0</v>
      </c>
    </row>
    <row r="22" spans="1:17" ht="24">
      <c r="A22" s="121">
        <v>20</v>
      </c>
      <c r="B22" s="121" t="s">
        <v>85</v>
      </c>
      <c r="C22" s="121"/>
      <c r="D22" s="121">
        <v>8</v>
      </c>
      <c r="E22" s="121">
        <v>10</v>
      </c>
      <c r="F22" s="121" t="s">
        <v>75</v>
      </c>
      <c r="G22" s="121"/>
      <c r="H22" s="121"/>
      <c r="I22" s="121">
        <v>18700</v>
      </c>
      <c r="J22" s="121">
        <v>5000</v>
      </c>
      <c r="K22" s="121">
        <v>0</v>
      </c>
      <c r="L22" s="121"/>
      <c r="M22" s="121"/>
      <c r="N22" s="121"/>
      <c r="O22" s="121"/>
    </row>
    <row r="23" spans="1:17" ht="24">
      <c r="A23" s="90">
        <v>21</v>
      </c>
      <c r="B23" s="90" t="s">
        <v>86</v>
      </c>
      <c r="C23" s="90"/>
      <c r="D23" s="90">
        <v>9</v>
      </c>
      <c r="E23" s="90">
        <v>11</v>
      </c>
      <c r="F23" s="90" t="s">
        <v>75</v>
      </c>
      <c r="G23" s="90"/>
      <c r="H23" s="90">
        <v>11000</v>
      </c>
      <c r="I23" s="90">
        <v>25000</v>
      </c>
      <c r="J23" s="90">
        <v>0</v>
      </c>
      <c r="K23" s="90">
        <v>0</v>
      </c>
      <c r="L23" s="90"/>
      <c r="M23" s="90"/>
      <c r="N23" s="90"/>
      <c r="O23" s="90">
        <f>K23+L23-M23</f>
        <v>0</v>
      </c>
    </row>
    <row r="24" spans="1:17" ht="24">
      <c r="A24" s="121">
        <v>22</v>
      </c>
      <c r="B24" s="121" t="s">
        <v>87</v>
      </c>
      <c r="C24" s="121" t="s">
        <v>301</v>
      </c>
      <c r="D24" s="121">
        <v>9</v>
      </c>
      <c r="E24" s="121">
        <v>12</v>
      </c>
      <c r="F24" s="121" t="s">
        <v>75</v>
      </c>
      <c r="G24" s="121">
        <v>9982128379</v>
      </c>
      <c r="H24" s="121">
        <v>20000</v>
      </c>
      <c r="I24" s="121">
        <v>25000</v>
      </c>
      <c r="J24" s="121">
        <v>5000</v>
      </c>
      <c r="K24" s="121">
        <v>0</v>
      </c>
      <c r="L24" s="121"/>
      <c r="M24" s="121"/>
      <c r="N24" s="121"/>
      <c r="O24" s="121">
        <f>K24+L24-M24</f>
        <v>0</v>
      </c>
    </row>
    <row r="25" spans="1:17" ht="24">
      <c r="A25" s="90">
        <v>24</v>
      </c>
      <c r="B25" s="90" t="s">
        <v>88</v>
      </c>
      <c r="C25" s="90" t="s">
        <v>302</v>
      </c>
      <c r="D25" s="90">
        <v>9</v>
      </c>
      <c r="E25" s="90">
        <v>13</v>
      </c>
      <c r="F25" s="90" t="s">
        <v>75</v>
      </c>
      <c r="G25" s="90">
        <v>6367673001</v>
      </c>
      <c r="H25" s="90">
        <v>15000</v>
      </c>
      <c r="I25" s="90">
        <v>25000</v>
      </c>
      <c r="J25" s="90">
        <v>2800</v>
      </c>
      <c r="K25" s="90">
        <v>1000</v>
      </c>
      <c r="L25" s="90"/>
      <c r="M25" s="90"/>
      <c r="N25" s="90"/>
      <c r="O25" s="90">
        <f>K25+L25-M25</f>
        <v>1000</v>
      </c>
    </row>
    <row r="26" spans="1:17" ht="24">
      <c r="A26" s="89">
        <v>25</v>
      </c>
      <c r="B26" s="89" t="s">
        <v>89</v>
      </c>
      <c r="C26" s="89" t="s">
        <v>303</v>
      </c>
      <c r="D26" s="89">
        <v>9</v>
      </c>
      <c r="E26" s="89">
        <v>14</v>
      </c>
      <c r="F26" s="89" t="s">
        <v>75</v>
      </c>
      <c r="G26" s="89">
        <v>9166821332</v>
      </c>
      <c r="H26" s="89">
        <v>13000</v>
      </c>
      <c r="I26" s="89">
        <v>25000</v>
      </c>
      <c r="J26" s="89">
        <v>3000</v>
      </c>
      <c r="K26" s="89">
        <v>13000</v>
      </c>
      <c r="L26" s="89"/>
      <c r="M26" s="89"/>
      <c r="N26" s="89"/>
      <c r="O26" s="89">
        <f>K26+L26-M26</f>
        <v>13000</v>
      </c>
    </row>
    <row r="27" spans="1:17" ht="24">
      <c r="A27" s="123">
        <v>26</v>
      </c>
      <c r="B27" s="123" t="s">
        <v>90</v>
      </c>
      <c r="C27" s="123"/>
      <c r="D27" s="123">
        <v>9</v>
      </c>
      <c r="E27" s="123">
        <v>15</v>
      </c>
      <c r="F27" s="123" t="s">
        <v>75</v>
      </c>
      <c r="G27" s="123"/>
      <c r="H27" s="123">
        <v>28000</v>
      </c>
      <c r="I27" s="123">
        <v>25000</v>
      </c>
      <c r="J27" s="123">
        <v>5000</v>
      </c>
      <c r="K27" s="123">
        <v>3000</v>
      </c>
      <c r="L27" s="123"/>
      <c r="M27" s="123"/>
      <c r="N27" s="123"/>
      <c r="O27" s="123">
        <f>K27+L27-M27</f>
        <v>3000</v>
      </c>
    </row>
    <row r="28" spans="1:17" ht="24">
      <c r="A28" s="123">
        <v>27</v>
      </c>
      <c r="B28" s="123" t="s">
        <v>91</v>
      </c>
      <c r="C28" s="123"/>
      <c r="D28" s="123">
        <v>5</v>
      </c>
      <c r="E28" s="123">
        <v>15</v>
      </c>
      <c r="F28" s="123" t="s">
        <v>75</v>
      </c>
      <c r="G28" s="123"/>
      <c r="H28" s="123"/>
      <c r="I28" s="123">
        <v>14200</v>
      </c>
      <c r="J28" s="123">
        <v>5000</v>
      </c>
      <c r="K28" s="123">
        <v>0</v>
      </c>
      <c r="L28" s="123"/>
      <c r="M28" s="123"/>
      <c r="N28" s="123"/>
      <c r="O28" s="123"/>
    </row>
    <row r="29" spans="1:17" ht="24">
      <c r="A29" s="121">
        <v>28</v>
      </c>
      <c r="B29" s="121" t="s">
        <v>92</v>
      </c>
      <c r="C29" s="121"/>
      <c r="D29" s="121">
        <v>9</v>
      </c>
      <c r="E29" s="121">
        <v>16</v>
      </c>
      <c r="F29" s="121" t="s">
        <v>75</v>
      </c>
      <c r="G29" s="121"/>
      <c r="H29" s="121">
        <v>13500</v>
      </c>
      <c r="I29" s="121">
        <v>25000</v>
      </c>
      <c r="J29" s="121">
        <v>2500</v>
      </c>
      <c r="K29" s="121">
        <v>0</v>
      </c>
      <c r="L29" s="121"/>
      <c r="M29" s="121"/>
      <c r="N29" s="121"/>
      <c r="O29" s="121">
        <f>K29+L29-M29</f>
        <v>0</v>
      </c>
    </row>
    <row r="30" spans="1:17" ht="24">
      <c r="A30" s="123">
        <v>29</v>
      </c>
      <c r="B30" s="123" t="s">
        <v>93</v>
      </c>
      <c r="C30" s="123"/>
      <c r="D30" s="123">
        <v>9</v>
      </c>
      <c r="E30" s="123">
        <v>17</v>
      </c>
      <c r="F30" s="123" t="s">
        <v>75</v>
      </c>
      <c r="G30" s="123"/>
      <c r="H30" s="123">
        <v>13500</v>
      </c>
      <c r="I30" s="123">
        <v>25000</v>
      </c>
      <c r="J30" s="123">
        <v>2300</v>
      </c>
      <c r="K30" s="123">
        <v>0</v>
      </c>
      <c r="L30" s="123"/>
      <c r="M30" s="123"/>
      <c r="N30" s="123"/>
      <c r="O30" s="123">
        <f>K30+L30-M30</f>
        <v>0</v>
      </c>
    </row>
    <row r="31" spans="1:17" ht="24">
      <c r="A31" s="89">
        <v>30</v>
      </c>
      <c r="B31" s="89" t="s">
        <v>94</v>
      </c>
      <c r="C31" s="89" t="s">
        <v>304</v>
      </c>
      <c r="D31" s="89">
        <v>9</v>
      </c>
      <c r="E31" s="89">
        <v>18</v>
      </c>
      <c r="F31" s="89" t="s">
        <v>75</v>
      </c>
      <c r="G31" s="89">
        <v>9928732253</v>
      </c>
      <c r="H31" s="89">
        <v>20000</v>
      </c>
      <c r="I31" s="89">
        <v>25000</v>
      </c>
      <c r="J31" s="89">
        <v>2500</v>
      </c>
      <c r="K31" s="89">
        <v>12000</v>
      </c>
      <c r="L31" s="89"/>
      <c r="M31" s="89"/>
      <c r="N31" s="89"/>
      <c r="O31" s="89">
        <f>K31+L31-M31</f>
        <v>12000</v>
      </c>
    </row>
    <row r="32" spans="1:17" ht="24">
      <c r="A32" s="89">
        <v>31</v>
      </c>
      <c r="B32" s="89" t="s">
        <v>95</v>
      </c>
      <c r="C32" s="89"/>
      <c r="D32" s="89">
        <v>7</v>
      </c>
      <c r="E32" s="89">
        <v>18</v>
      </c>
      <c r="F32" s="89" t="s">
        <v>75</v>
      </c>
      <c r="G32" s="89"/>
      <c r="H32" s="89"/>
      <c r="I32" s="89">
        <v>15900</v>
      </c>
      <c r="J32" s="89">
        <v>2500</v>
      </c>
      <c r="K32" s="89">
        <v>0</v>
      </c>
      <c r="L32" s="89"/>
      <c r="M32" s="89"/>
      <c r="N32" s="89"/>
      <c r="O32" s="89"/>
    </row>
    <row r="33" spans="1:15" ht="24">
      <c r="A33" s="89">
        <v>32</v>
      </c>
      <c r="B33" s="89" t="s">
        <v>96</v>
      </c>
      <c r="C33" s="89"/>
      <c r="D33" s="89">
        <v>5</v>
      </c>
      <c r="E33" s="89">
        <v>18</v>
      </c>
      <c r="F33" s="89" t="s">
        <v>75</v>
      </c>
      <c r="G33" s="89"/>
      <c r="H33" s="89"/>
      <c r="I33" s="89">
        <v>14200</v>
      </c>
      <c r="J33" s="89">
        <v>2500</v>
      </c>
      <c r="K33" s="89">
        <v>0</v>
      </c>
      <c r="L33" s="89"/>
      <c r="M33" s="89"/>
      <c r="N33" s="89"/>
      <c r="O33" s="89"/>
    </row>
    <row r="34" spans="1:15" ht="24">
      <c r="A34" s="89">
        <v>33</v>
      </c>
      <c r="B34" s="89" t="s">
        <v>97</v>
      </c>
      <c r="C34" s="89"/>
      <c r="D34" s="89" t="s">
        <v>130</v>
      </c>
      <c r="E34" s="89">
        <v>18</v>
      </c>
      <c r="F34" s="89" t="s">
        <v>76</v>
      </c>
      <c r="G34" s="89"/>
      <c r="H34" s="89"/>
      <c r="I34" s="89">
        <v>0</v>
      </c>
      <c r="J34" s="89">
        <v>2500</v>
      </c>
      <c r="K34" s="89">
        <v>0</v>
      </c>
      <c r="L34" s="89"/>
      <c r="M34" s="89"/>
      <c r="N34" s="89"/>
      <c r="O34" s="89"/>
    </row>
    <row r="35" spans="1:15" ht="24">
      <c r="A35" s="121">
        <v>34</v>
      </c>
      <c r="B35" s="121" t="s">
        <v>99</v>
      </c>
      <c r="C35" s="122" t="s">
        <v>305</v>
      </c>
      <c r="D35" s="121">
        <v>8</v>
      </c>
      <c r="E35" s="121">
        <v>19</v>
      </c>
      <c r="F35" s="121" t="s">
        <v>75</v>
      </c>
      <c r="G35" s="121">
        <v>8058123753</v>
      </c>
      <c r="H35" s="121">
        <v>34000</v>
      </c>
      <c r="I35" s="121">
        <v>18700</v>
      </c>
      <c r="J35" s="121">
        <v>4700</v>
      </c>
      <c r="K35" s="121">
        <v>0</v>
      </c>
      <c r="L35" s="121"/>
      <c r="M35" s="121"/>
      <c r="N35" s="121"/>
      <c r="O35" s="121">
        <f>K35+L35-M35</f>
        <v>0</v>
      </c>
    </row>
    <row r="36" spans="1:15" ht="24">
      <c r="A36" s="121">
        <v>35</v>
      </c>
      <c r="B36" s="121" t="s">
        <v>100</v>
      </c>
      <c r="C36" s="122" t="s">
        <v>419</v>
      </c>
      <c r="D36" s="121">
        <v>8</v>
      </c>
      <c r="E36" s="121">
        <v>19</v>
      </c>
      <c r="F36" s="121" t="s">
        <v>75</v>
      </c>
      <c r="G36" s="121">
        <v>7297872191</v>
      </c>
      <c r="H36" s="121"/>
      <c r="I36" s="121">
        <v>18700</v>
      </c>
      <c r="J36" s="121">
        <v>4700</v>
      </c>
      <c r="K36" s="121">
        <v>0</v>
      </c>
      <c r="L36" s="121"/>
      <c r="M36" s="121"/>
      <c r="N36" s="121"/>
      <c r="O36" s="121"/>
    </row>
    <row r="37" spans="1:15" ht="24">
      <c r="A37" s="121">
        <v>36</v>
      </c>
      <c r="B37" s="121" t="s">
        <v>101</v>
      </c>
      <c r="C37" s="122"/>
      <c r="D37" s="121">
        <v>1</v>
      </c>
      <c r="E37" s="121">
        <v>19</v>
      </c>
      <c r="F37" s="121" t="s">
        <v>75</v>
      </c>
      <c r="G37" s="121"/>
      <c r="H37" s="121"/>
      <c r="I37" s="121">
        <v>11500</v>
      </c>
      <c r="J37" s="121">
        <v>4700</v>
      </c>
      <c r="K37" s="121">
        <v>0</v>
      </c>
      <c r="L37" s="121"/>
      <c r="M37" s="121"/>
      <c r="N37" s="121"/>
      <c r="O37" s="121"/>
    </row>
    <row r="38" spans="1:15" ht="24">
      <c r="A38" s="89">
        <v>37</v>
      </c>
      <c r="B38" s="89" t="s">
        <v>103</v>
      </c>
      <c r="C38" s="92" t="s">
        <v>306</v>
      </c>
      <c r="D38" s="89">
        <v>8</v>
      </c>
      <c r="E38" s="89">
        <v>20</v>
      </c>
      <c r="F38" s="89" t="s">
        <v>75</v>
      </c>
      <c r="G38" s="89">
        <v>9783457003</v>
      </c>
      <c r="H38" s="89">
        <v>20500</v>
      </c>
      <c r="I38" s="89">
        <v>18700</v>
      </c>
      <c r="J38" s="89">
        <v>2800</v>
      </c>
      <c r="K38" s="89">
        <v>0</v>
      </c>
      <c r="L38" s="89"/>
      <c r="M38" s="89"/>
      <c r="N38" s="89"/>
      <c r="O38" s="89">
        <f>K38+L38-M38</f>
        <v>0</v>
      </c>
    </row>
    <row r="39" spans="1:15" ht="24">
      <c r="A39" s="89">
        <v>38</v>
      </c>
      <c r="B39" s="89" t="s">
        <v>104</v>
      </c>
      <c r="C39" s="89"/>
      <c r="D39" s="89">
        <v>6</v>
      </c>
      <c r="E39" s="89">
        <v>20</v>
      </c>
      <c r="F39" s="89" t="s">
        <v>76</v>
      </c>
      <c r="G39" s="89"/>
      <c r="H39" s="89"/>
      <c r="I39" s="89">
        <v>0</v>
      </c>
      <c r="J39" s="89">
        <v>2800</v>
      </c>
      <c r="K39" s="89">
        <v>0</v>
      </c>
      <c r="L39" s="89"/>
      <c r="M39" s="89"/>
      <c r="N39" s="89"/>
      <c r="O39" s="89"/>
    </row>
    <row r="40" spans="1:15" ht="24">
      <c r="A40" s="121">
        <v>39</v>
      </c>
      <c r="B40" s="121" t="s">
        <v>105</v>
      </c>
      <c r="C40" s="121"/>
      <c r="D40" s="121">
        <v>8</v>
      </c>
      <c r="E40" s="121">
        <v>21</v>
      </c>
      <c r="F40" s="121" t="s">
        <v>75</v>
      </c>
      <c r="G40" s="121"/>
      <c r="H40" s="121">
        <v>13000</v>
      </c>
      <c r="I40" s="121">
        <v>18700</v>
      </c>
      <c r="J40" s="121">
        <v>3200</v>
      </c>
      <c r="K40" s="121">
        <v>0</v>
      </c>
      <c r="L40" s="121"/>
      <c r="M40" s="121"/>
      <c r="N40" s="121"/>
      <c r="O40" s="121">
        <f>K40+L40-M40</f>
        <v>0</v>
      </c>
    </row>
    <row r="41" spans="1:15" ht="24">
      <c r="A41" s="89">
        <v>40</v>
      </c>
      <c r="B41" s="89" t="s">
        <v>106</v>
      </c>
      <c r="C41" s="89" t="s">
        <v>307</v>
      </c>
      <c r="D41" s="89">
        <v>8</v>
      </c>
      <c r="E41" s="89">
        <v>22</v>
      </c>
      <c r="F41" s="89" t="s">
        <v>75</v>
      </c>
      <c r="G41" s="89">
        <v>8094447447</v>
      </c>
      <c r="H41" s="89">
        <v>30000</v>
      </c>
      <c r="I41" s="89">
        <v>18700</v>
      </c>
      <c r="J41" s="89">
        <v>3200</v>
      </c>
      <c r="K41" s="89">
        <v>5000</v>
      </c>
      <c r="L41" s="89"/>
      <c r="M41" s="89"/>
      <c r="N41" s="89"/>
      <c r="O41" s="89">
        <f>K41+L41-M41</f>
        <v>5000</v>
      </c>
    </row>
    <row r="42" spans="1:15" ht="24">
      <c r="A42" s="89">
        <v>41</v>
      </c>
      <c r="B42" s="89" t="s">
        <v>107</v>
      </c>
      <c r="C42" s="89"/>
      <c r="D42" s="89">
        <v>6</v>
      </c>
      <c r="E42" s="89">
        <v>22</v>
      </c>
      <c r="F42" s="89" t="s">
        <v>75</v>
      </c>
      <c r="G42" s="89"/>
      <c r="H42" s="89"/>
      <c r="I42" s="89">
        <v>14700</v>
      </c>
      <c r="J42" s="89">
        <v>3200</v>
      </c>
      <c r="K42" s="89">
        <v>0</v>
      </c>
      <c r="L42" s="89"/>
      <c r="M42" s="89"/>
      <c r="N42" s="89"/>
      <c r="O42" s="89"/>
    </row>
    <row r="43" spans="1:15" ht="24">
      <c r="A43" s="89">
        <v>42</v>
      </c>
      <c r="B43" s="89" t="s">
        <v>108</v>
      </c>
      <c r="C43" s="89"/>
      <c r="D43" s="89">
        <v>1</v>
      </c>
      <c r="E43" s="89">
        <v>22</v>
      </c>
      <c r="F43" s="89" t="s">
        <v>75</v>
      </c>
      <c r="G43" s="89"/>
      <c r="H43" s="89"/>
      <c r="I43" s="89">
        <v>11500</v>
      </c>
      <c r="J43" s="89">
        <v>3200</v>
      </c>
      <c r="K43" s="89">
        <v>0</v>
      </c>
      <c r="L43" s="89"/>
      <c r="M43" s="89"/>
      <c r="N43" s="89"/>
      <c r="O43" s="89"/>
    </row>
    <row r="44" spans="1:15" ht="48">
      <c r="A44" s="90"/>
      <c r="B44" s="95" t="s">
        <v>283</v>
      </c>
      <c r="C44" s="95" t="s">
        <v>515</v>
      </c>
      <c r="D44" s="90" t="s">
        <v>130</v>
      </c>
      <c r="E44" s="90">
        <v>121</v>
      </c>
      <c r="F44" s="90" t="s">
        <v>75</v>
      </c>
      <c r="G44" s="90"/>
      <c r="H44" s="90">
        <v>4000</v>
      </c>
      <c r="I44" s="90">
        <v>9300</v>
      </c>
      <c r="J44" s="90">
        <v>3200</v>
      </c>
      <c r="K44" s="90">
        <v>2000</v>
      </c>
      <c r="L44" s="90"/>
      <c r="M44" s="90"/>
      <c r="N44" s="90"/>
      <c r="O44" s="90">
        <f>K44+L44-M44</f>
        <v>2000</v>
      </c>
    </row>
    <row r="45" spans="1:15" ht="24">
      <c r="A45" s="121">
        <v>43</v>
      </c>
      <c r="B45" s="121" t="s">
        <v>109</v>
      </c>
      <c r="C45" s="121" t="s">
        <v>308</v>
      </c>
      <c r="D45" s="121">
        <v>9</v>
      </c>
      <c r="E45" s="121">
        <v>23</v>
      </c>
      <c r="F45" s="121" t="s">
        <v>75</v>
      </c>
      <c r="G45" s="121">
        <v>9828051602</v>
      </c>
      <c r="H45" s="121">
        <v>17000</v>
      </c>
      <c r="I45" s="121">
        <v>25000</v>
      </c>
      <c r="J45" s="121">
        <v>5000</v>
      </c>
      <c r="K45" s="121">
        <v>0</v>
      </c>
      <c r="L45" s="121"/>
      <c r="M45" s="121"/>
      <c r="N45" s="121"/>
      <c r="O45" s="121">
        <f>K45+L45-M45</f>
        <v>0</v>
      </c>
    </row>
    <row r="46" spans="1:15" ht="24">
      <c r="A46" s="93">
        <v>44</v>
      </c>
      <c r="B46" s="93" t="s">
        <v>110</v>
      </c>
      <c r="C46" s="93" t="s">
        <v>309</v>
      </c>
      <c r="D46" s="93">
        <v>8</v>
      </c>
      <c r="E46" s="93">
        <v>24</v>
      </c>
      <c r="F46" s="93" t="s">
        <v>75</v>
      </c>
      <c r="G46" s="93">
        <v>9928092116</v>
      </c>
      <c r="H46" s="93">
        <v>30000</v>
      </c>
      <c r="I46" s="93">
        <v>18700</v>
      </c>
      <c r="J46" s="93">
        <v>5000</v>
      </c>
      <c r="K46" s="93">
        <v>0</v>
      </c>
      <c r="L46" s="93"/>
      <c r="M46" s="93"/>
      <c r="N46" s="93"/>
      <c r="O46" s="93">
        <f>K46+L46-M46</f>
        <v>0</v>
      </c>
    </row>
    <row r="47" spans="1:15">
      <c r="A47" s="93">
        <v>45</v>
      </c>
      <c r="B47" s="93" t="s">
        <v>111</v>
      </c>
      <c r="C47" s="93"/>
      <c r="D47" s="93">
        <v>7</v>
      </c>
      <c r="E47" s="93">
        <v>24</v>
      </c>
      <c r="F47" s="93" t="s">
        <v>75</v>
      </c>
      <c r="G47" s="93"/>
      <c r="H47" s="93"/>
      <c r="I47" s="93">
        <v>15900</v>
      </c>
      <c r="J47" s="93">
        <v>5000</v>
      </c>
      <c r="K47" s="93">
        <v>0</v>
      </c>
      <c r="L47" s="93"/>
      <c r="M47" s="93"/>
      <c r="N47" s="93"/>
      <c r="O47" s="93"/>
    </row>
    <row r="48" spans="1:15" ht="24">
      <c r="A48" s="93">
        <v>46</v>
      </c>
      <c r="B48" s="93" t="s">
        <v>112</v>
      </c>
      <c r="C48" s="93"/>
      <c r="D48" s="93">
        <v>3</v>
      </c>
      <c r="E48" s="93">
        <v>24</v>
      </c>
      <c r="F48" s="93" t="s">
        <v>75</v>
      </c>
      <c r="G48" s="93"/>
      <c r="H48" s="93"/>
      <c r="I48" s="93">
        <v>13300</v>
      </c>
      <c r="J48" s="93">
        <v>5000</v>
      </c>
      <c r="K48" s="93">
        <v>0</v>
      </c>
      <c r="L48" s="93"/>
      <c r="M48" s="93"/>
      <c r="N48" s="93"/>
      <c r="O48" s="93"/>
    </row>
    <row r="49" spans="1:15" ht="24">
      <c r="A49" s="90">
        <v>47</v>
      </c>
      <c r="B49" s="90" t="s">
        <v>113</v>
      </c>
      <c r="C49" s="90" t="s">
        <v>516</v>
      </c>
      <c r="D49" s="90">
        <v>8</v>
      </c>
      <c r="E49" s="90">
        <v>25</v>
      </c>
      <c r="F49" s="90" t="s">
        <v>75</v>
      </c>
      <c r="G49" s="90">
        <v>9828289578</v>
      </c>
      <c r="H49" s="90">
        <v>14800</v>
      </c>
      <c r="I49" s="90">
        <v>18700</v>
      </c>
      <c r="J49" s="90">
        <v>2200</v>
      </c>
      <c r="K49" s="90">
        <v>0</v>
      </c>
      <c r="L49" s="90"/>
      <c r="M49" s="90"/>
      <c r="N49" s="90"/>
      <c r="O49" s="90">
        <f t="shared" ref="O49:O50" si="0">K49+L49-M49</f>
        <v>0</v>
      </c>
    </row>
    <row r="50" spans="1:15" ht="24">
      <c r="A50" s="89">
        <v>48</v>
      </c>
      <c r="B50" s="89" t="s">
        <v>114</v>
      </c>
      <c r="C50" s="89" t="s">
        <v>310</v>
      </c>
      <c r="D50" s="89">
        <v>8</v>
      </c>
      <c r="E50" s="89">
        <v>26</v>
      </c>
      <c r="F50" s="89" t="s">
        <v>75</v>
      </c>
      <c r="G50" s="89">
        <v>9785690310</v>
      </c>
      <c r="H50" s="89">
        <v>30000</v>
      </c>
      <c r="I50" s="89">
        <v>18700</v>
      </c>
      <c r="J50" s="89">
        <v>3000</v>
      </c>
      <c r="K50" s="89">
        <v>0</v>
      </c>
      <c r="L50" s="89"/>
      <c r="M50" s="89"/>
      <c r="N50" s="89"/>
      <c r="O50" s="89">
        <f t="shared" si="0"/>
        <v>0</v>
      </c>
    </row>
    <row r="51" spans="1:15" ht="24">
      <c r="A51" s="89">
        <v>49</v>
      </c>
      <c r="B51" s="89" t="s">
        <v>115</v>
      </c>
      <c r="C51" s="89"/>
      <c r="D51" s="89">
        <v>3</v>
      </c>
      <c r="E51" s="89">
        <v>26</v>
      </c>
      <c r="F51" s="89" t="s">
        <v>75</v>
      </c>
      <c r="G51" s="89"/>
      <c r="H51" s="89"/>
      <c r="I51" s="89">
        <v>13300</v>
      </c>
      <c r="J51" s="89">
        <v>3000</v>
      </c>
      <c r="K51" s="89">
        <v>0</v>
      </c>
      <c r="L51" s="89"/>
      <c r="M51" s="89"/>
      <c r="N51" s="89"/>
      <c r="O51" s="89"/>
    </row>
    <row r="52" spans="1:15" ht="24">
      <c r="A52" s="89">
        <v>50</v>
      </c>
      <c r="B52" s="89" t="s">
        <v>116</v>
      </c>
      <c r="C52" s="89"/>
      <c r="D52" s="89">
        <v>3</v>
      </c>
      <c r="E52" s="89">
        <v>26</v>
      </c>
      <c r="F52" s="89" t="s">
        <v>75</v>
      </c>
      <c r="G52" s="89"/>
      <c r="H52" s="89"/>
      <c r="I52" s="89">
        <v>13300</v>
      </c>
      <c r="J52" s="89">
        <v>3000</v>
      </c>
      <c r="K52" s="89">
        <v>0</v>
      </c>
      <c r="L52" s="89"/>
      <c r="M52" s="89"/>
      <c r="N52" s="89"/>
      <c r="O52" s="89"/>
    </row>
    <row r="53" spans="1:15" ht="24">
      <c r="A53" s="90">
        <v>51</v>
      </c>
      <c r="B53" s="90" t="s">
        <v>117</v>
      </c>
      <c r="C53" s="90" t="s">
        <v>311</v>
      </c>
      <c r="D53" s="90">
        <v>7</v>
      </c>
      <c r="E53" s="90">
        <v>27</v>
      </c>
      <c r="F53" s="90" t="s">
        <v>76</v>
      </c>
      <c r="G53" s="90">
        <v>9982539124</v>
      </c>
      <c r="H53" s="90">
        <v>15000</v>
      </c>
      <c r="I53" s="90">
        <v>0</v>
      </c>
      <c r="J53" s="90">
        <v>2000</v>
      </c>
      <c r="K53" s="90">
        <v>7000</v>
      </c>
      <c r="L53" s="90"/>
      <c r="M53" s="90"/>
      <c r="N53" s="90"/>
      <c r="O53" s="90">
        <f>K53+L53-M53</f>
        <v>7000</v>
      </c>
    </row>
    <row r="54" spans="1:15" ht="24">
      <c r="A54" s="90">
        <v>52</v>
      </c>
      <c r="B54" s="90" t="s">
        <v>118</v>
      </c>
      <c r="C54" s="90"/>
      <c r="D54" s="90">
        <v>6</v>
      </c>
      <c r="E54" s="90">
        <v>27</v>
      </c>
      <c r="F54" s="90" t="s">
        <v>75</v>
      </c>
      <c r="G54" s="90"/>
      <c r="H54" s="90"/>
      <c r="I54" s="90">
        <v>14700</v>
      </c>
      <c r="J54" s="90">
        <v>2000</v>
      </c>
      <c r="K54" s="90"/>
      <c r="L54" s="90"/>
      <c r="M54" s="90"/>
      <c r="N54" s="90"/>
      <c r="O54" s="90"/>
    </row>
    <row r="55" spans="1:15" ht="24">
      <c r="A55" s="89">
        <v>53</v>
      </c>
      <c r="B55" s="89" t="s">
        <v>119</v>
      </c>
      <c r="C55" s="89" t="s">
        <v>312</v>
      </c>
      <c r="D55" s="89">
        <v>7</v>
      </c>
      <c r="E55" s="89">
        <v>28</v>
      </c>
      <c r="F55" s="89" t="s">
        <v>75</v>
      </c>
      <c r="G55" s="89">
        <v>7742232992</v>
      </c>
      <c r="H55" s="89">
        <v>44000</v>
      </c>
      <c r="I55" s="89">
        <v>15900</v>
      </c>
      <c r="J55" s="89">
        <v>2800</v>
      </c>
      <c r="K55" s="89">
        <v>9000</v>
      </c>
      <c r="L55" s="89"/>
      <c r="M55" s="89"/>
      <c r="N55" s="89"/>
      <c r="O55" s="89">
        <f>K55+L55-M55</f>
        <v>9000</v>
      </c>
    </row>
    <row r="56" spans="1:15" ht="24">
      <c r="A56" s="89">
        <v>54</v>
      </c>
      <c r="B56" s="89" t="s">
        <v>120</v>
      </c>
      <c r="C56" s="89"/>
      <c r="D56" s="89">
        <v>7</v>
      </c>
      <c r="E56" s="89">
        <v>28</v>
      </c>
      <c r="F56" s="89" t="s">
        <v>75</v>
      </c>
      <c r="G56" s="89"/>
      <c r="H56" s="89"/>
      <c r="I56" s="89">
        <v>15900</v>
      </c>
      <c r="J56" s="89">
        <v>2800</v>
      </c>
      <c r="K56" s="89"/>
      <c r="L56" s="89"/>
      <c r="M56" s="89"/>
      <c r="N56" s="89"/>
      <c r="O56" s="89"/>
    </row>
    <row r="57" spans="1:15" ht="24">
      <c r="A57" s="89">
        <v>55</v>
      </c>
      <c r="B57" s="89" t="s">
        <v>121</v>
      </c>
      <c r="C57" s="89"/>
      <c r="D57" s="89" t="s">
        <v>102</v>
      </c>
      <c r="E57" s="89">
        <v>28</v>
      </c>
      <c r="F57" s="89" t="s">
        <v>75</v>
      </c>
      <c r="G57" s="89"/>
      <c r="H57" s="89"/>
      <c r="I57" s="89">
        <v>9800</v>
      </c>
      <c r="J57" s="89">
        <v>2800</v>
      </c>
      <c r="K57" s="89"/>
      <c r="L57" s="89"/>
      <c r="M57" s="89"/>
      <c r="N57" s="89"/>
      <c r="O57" s="89"/>
    </row>
    <row r="58" spans="1:15" ht="24">
      <c r="A58" s="89">
        <v>56</v>
      </c>
      <c r="B58" s="89" t="s">
        <v>122</v>
      </c>
      <c r="C58" s="89"/>
      <c r="D58" s="89">
        <v>3</v>
      </c>
      <c r="E58" s="89">
        <v>28</v>
      </c>
      <c r="F58" s="89" t="s">
        <v>75</v>
      </c>
      <c r="G58" s="89"/>
      <c r="H58" s="89"/>
      <c r="I58" s="89">
        <v>13300</v>
      </c>
      <c r="J58" s="89">
        <v>2800</v>
      </c>
      <c r="K58" s="89"/>
      <c r="L58" s="89"/>
      <c r="M58" s="89"/>
      <c r="N58" s="89"/>
      <c r="O58" s="89"/>
    </row>
    <row r="59" spans="1:15">
      <c r="A59" s="90">
        <v>57</v>
      </c>
      <c r="B59" s="90" t="s">
        <v>123</v>
      </c>
      <c r="C59" s="90"/>
      <c r="D59" s="90">
        <v>7</v>
      </c>
      <c r="E59" s="90">
        <v>29</v>
      </c>
      <c r="F59" s="90" t="s">
        <v>75</v>
      </c>
      <c r="G59" s="90"/>
      <c r="H59" s="90">
        <v>24000</v>
      </c>
      <c r="I59" s="90">
        <v>15900</v>
      </c>
      <c r="J59" s="90">
        <v>5000</v>
      </c>
      <c r="K59" s="90">
        <v>0</v>
      </c>
      <c r="L59" s="90"/>
      <c r="M59" s="90"/>
      <c r="N59" s="90"/>
      <c r="O59" s="90">
        <f>K59+L59-M59</f>
        <v>0</v>
      </c>
    </row>
    <row r="60" spans="1:15">
      <c r="A60" s="90">
        <v>58</v>
      </c>
      <c r="B60" s="90" t="s">
        <v>124</v>
      </c>
      <c r="C60" s="90"/>
      <c r="D60" s="90">
        <v>2</v>
      </c>
      <c r="E60" s="90">
        <v>29</v>
      </c>
      <c r="F60" s="90" t="s">
        <v>75</v>
      </c>
      <c r="G60" s="90"/>
      <c r="H60" s="90"/>
      <c r="I60" s="90">
        <v>12000</v>
      </c>
      <c r="J60" s="90">
        <v>5000</v>
      </c>
      <c r="K60" s="90">
        <v>0</v>
      </c>
      <c r="L60" s="90"/>
      <c r="M60" s="90"/>
      <c r="N60" s="90"/>
      <c r="O60" s="90"/>
    </row>
    <row r="61" spans="1:15" ht="24">
      <c r="A61" s="89">
        <v>59</v>
      </c>
      <c r="B61" s="89" t="s">
        <v>125</v>
      </c>
      <c r="C61" s="89" t="s">
        <v>313</v>
      </c>
      <c r="D61" s="89">
        <v>7</v>
      </c>
      <c r="E61" s="89">
        <v>30</v>
      </c>
      <c r="F61" s="89" t="s">
        <v>75</v>
      </c>
      <c r="G61" s="89">
        <v>9772971159</v>
      </c>
      <c r="H61" s="89">
        <v>50000</v>
      </c>
      <c r="I61" s="89">
        <v>15900</v>
      </c>
      <c r="J61" s="89">
        <v>2200</v>
      </c>
      <c r="K61" s="89">
        <v>26000</v>
      </c>
      <c r="L61" s="89"/>
      <c r="M61" s="89">
        <v>4000</v>
      </c>
      <c r="N61" s="89"/>
      <c r="O61" s="89">
        <f>K61+L61-M61</f>
        <v>22000</v>
      </c>
    </row>
    <row r="62" spans="1:15" ht="24">
      <c r="A62" s="89">
        <v>60</v>
      </c>
      <c r="B62" s="89" t="s">
        <v>126</v>
      </c>
      <c r="C62" s="89"/>
      <c r="D62" s="89">
        <v>7</v>
      </c>
      <c r="E62" s="89">
        <v>30</v>
      </c>
      <c r="F62" s="89" t="s">
        <v>75</v>
      </c>
      <c r="G62" s="89"/>
      <c r="H62" s="89"/>
      <c r="I62" s="89">
        <v>15900</v>
      </c>
      <c r="J62" s="89">
        <v>2200</v>
      </c>
      <c r="K62" s="89"/>
      <c r="L62" s="89"/>
      <c r="M62" s="89"/>
      <c r="N62" s="89"/>
      <c r="O62" s="89"/>
    </row>
    <row r="63" spans="1:15" ht="24">
      <c r="A63" s="89">
        <v>61</v>
      </c>
      <c r="B63" s="89" t="s">
        <v>127</v>
      </c>
      <c r="C63" s="89"/>
      <c r="D63" s="89">
        <v>5</v>
      </c>
      <c r="E63" s="89">
        <v>30</v>
      </c>
      <c r="F63" s="89" t="s">
        <v>75</v>
      </c>
      <c r="G63" s="89"/>
      <c r="H63" s="89"/>
      <c r="I63" s="89">
        <v>14200</v>
      </c>
      <c r="J63" s="89">
        <v>2200</v>
      </c>
      <c r="K63" s="89"/>
      <c r="L63" s="89"/>
      <c r="M63" s="89"/>
      <c r="N63" s="89"/>
      <c r="O63" s="89"/>
    </row>
    <row r="64" spans="1:15" ht="24">
      <c r="A64" s="89">
        <v>62</v>
      </c>
      <c r="B64" s="89" t="s">
        <v>128</v>
      </c>
      <c r="C64" s="89"/>
      <c r="D64" s="89">
        <v>5</v>
      </c>
      <c r="E64" s="89">
        <v>30</v>
      </c>
      <c r="F64" s="89" t="s">
        <v>75</v>
      </c>
      <c r="G64" s="89"/>
      <c r="H64" s="89"/>
      <c r="I64" s="89">
        <v>14200</v>
      </c>
      <c r="J64" s="89">
        <v>2200</v>
      </c>
      <c r="K64" s="89"/>
      <c r="L64" s="89"/>
      <c r="M64" s="89"/>
      <c r="N64" s="89"/>
      <c r="O64" s="89"/>
    </row>
    <row r="65" spans="1:16" ht="24">
      <c r="A65" s="89">
        <v>63</v>
      </c>
      <c r="B65" s="89" t="s">
        <v>129</v>
      </c>
      <c r="C65" s="89"/>
      <c r="D65" s="89" t="s">
        <v>102</v>
      </c>
      <c r="E65" s="89">
        <v>30</v>
      </c>
      <c r="F65" s="89" t="s">
        <v>75</v>
      </c>
      <c r="G65" s="89"/>
      <c r="H65" s="89"/>
      <c r="I65" s="89">
        <v>9800</v>
      </c>
      <c r="J65" s="89">
        <v>2200</v>
      </c>
      <c r="K65" s="89"/>
      <c r="L65" s="89"/>
      <c r="M65" s="89"/>
      <c r="N65" s="89"/>
      <c r="O65" s="89"/>
    </row>
    <row r="66" spans="1:16" ht="48">
      <c r="A66" s="90">
        <v>64</v>
      </c>
      <c r="B66" s="90" t="s">
        <v>131</v>
      </c>
      <c r="C66" s="90" t="s">
        <v>314</v>
      </c>
      <c r="D66" s="90">
        <v>7</v>
      </c>
      <c r="E66" s="90">
        <v>31</v>
      </c>
      <c r="F66" s="90" t="s">
        <v>76</v>
      </c>
      <c r="G66" s="90">
        <v>9982777692</v>
      </c>
      <c r="H66" s="90">
        <v>12000</v>
      </c>
      <c r="I66" s="90">
        <v>0</v>
      </c>
      <c r="J66" s="90">
        <v>0</v>
      </c>
      <c r="K66" s="90">
        <v>10000</v>
      </c>
      <c r="L66" s="90"/>
      <c r="M66" s="90"/>
      <c r="N66" s="90"/>
      <c r="O66" s="90">
        <f>K66+L66-M66</f>
        <v>10000</v>
      </c>
      <c r="P66" s="96" t="s">
        <v>133</v>
      </c>
    </row>
    <row r="67" spans="1:16" ht="24">
      <c r="A67" s="90">
        <v>65</v>
      </c>
      <c r="B67" s="90" t="s">
        <v>132</v>
      </c>
      <c r="C67" s="90"/>
      <c r="D67" s="90">
        <v>5</v>
      </c>
      <c r="E67" s="90">
        <v>31</v>
      </c>
      <c r="F67" s="90" t="s">
        <v>75</v>
      </c>
      <c r="G67" s="90"/>
      <c r="H67" s="90"/>
      <c r="I67" s="90">
        <v>14200</v>
      </c>
      <c r="J67" s="90">
        <v>0</v>
      </c>
      <c r="K67" s="90"/>
      <c r="L67" s="90"/>
      <c r="M67" s="90"/>
      <c r="N67" s="90"/>
      <c r="O67" s="90"/>
    </row>
    <row r="68" spans="1:16" ht="24">
      <c r="A68" s="89">
        <v>66</v>
      </c>
      <c r="B68" s="89" t="s">
        <v>134</v>
      </c>
      <c r="C68" s="89" t="s">
        <v>315</v>
      </c>
      <c r="D68" s="89">
        <v>7</v>
      </c>
      <c r="E68" s="89">
        <v>32</v>
      </c>
      <c r="F68" s="89" t="s">
        <v>75</v>
      </c>
      <c r="G68" s="89">
        <v>9982777653</v>
      </c>
      <c r="H68" s="89">
        <v>20000</v>
      </c>
      <c r="I68" s="89">
        <v>15900</v>
      </c>
      <c r="J68" s="89">
        <v>2200</v>
      </c>
      <c r="K68" s="89">
        <v>9000</v>
      </c>
      <c r="L68" s="89"/>
      <c r="M68" s="89"/>
      <c r="N68" s="89"/>
      <c r="O68" s="89">
        <f>K68+L68-M68</f>
        <v>9000</v>
      </c>
    </row>
    <row r="69" spans="1:16" ht="24">
      <c r="A69" s="89">
        <v>67</v>
      </c>
      <c r="B69" s="89" t="s">
        <v>135</v>
      </c>
      <c r="C69" s="89"/>
      <c r="D69" s="89" t="s">
        <v>102</v>
      </c>
      <c r="E69" s="89">
        <v>32</v>
      </c>
      <c r="F69" s="89" t="s">
        <v>75</v>
      </c>
      <c r="G69" s="89"/>
      <c r="H69" s="89"/>
      <c r="I69" s="89">
        <v>9800</v>
      </c>
      <c r="J69" s="89">
        <v>2200</v>
      </c>
      <c r="K69" s="89"/>
      <c r="L69" s="89"/>
      <c r="M69" s="89"/>
      <c r="N69" s="89"/>
      <c r="O69" s="89"/>
    </row>
    <row r="70" spans="1:16" ht="48">
      <c r="A70" s="90">
        <v>68</v>
      </c>
      <c r="B70" s="90" t="s">
        <v>136</v>
      </c>
      <c r="C70" s="90" t="s">
        <v>316</v>
      </c>
      <c r="D70" s="90">
        <v>7</v>
      </c>
      <c r="E70" s="90">
        <v>33</v>
      </c>
      <c r="F70" s="90" t="s">
        <v>75</v>
      </c>
      <c r="G70" s="90">
        <v>9929392322</v>
      </c>
      <c r="H70" s="90">
        <v>20000</v>
      </c>
      <c r="I70" s="90">
        <v>15900</v>
      </c>
      <c r="J70" s="90">
        <v>4200</v>
      </c>
      <c r="K70" s="90">
        <v>10000</v>
      </c>
      <c r="L70" s="90"/>
      <c r="M70" s="90"/>
      <c r="N70" s="90"/>
      <c r="O70" s="90">
        <f>K70+L70-M70</f>
        <v>10000</v>
      </c>
    </row>
    <row r="71" spans="1:16" ht="24">
      <c r="A71" s="90">
        <v>69</v>
      </c>
      <c r="B71" s="90" t="s">
        <v>137</v>
      </c>
      <c r="C71" s="90"/>
      <c r="D71" s="90">
        <v>3</v>
      </c>
      <c r="E71" s="90">
        <v>33</v>
      </c>
      <c r="F71" s="90" t="s">
        <v>75</v>
      </c>
      <c r="G71" s="90"/>
      <c r="H71" s="90"/>
      <c r="I71" s="90">
        <v>13300</v>
      </c>
      <c r="J71" s="90">
        <v>4200</v>
      </c>
      <c r="K71" s="90"/>
      <c r="L71" s="90"/>
      <c r="M71" s="90"/>
      <c r="N71" s="90"/>
      <c r="O71" s="90"/>
    </row>
    <row r="72" spans="1:16" ht="24">
      <c r="A72" s="89">
        <v>70</v>
      </c>
      <c r="B72" s="89" t="s">
        <v>105</v>
      </c>
      <c r="C72" s="89" t="s">
        <v>317</v>
      </c>
      <c r="D72" s="89">
        <v>7</v>
      </c>
      <c r="E72" s="89">
        <v>34</v>
      </c>
      <c r="F72" s="89" t="s">
        <v>75</v>
      </c>
      <c r="G72" s="89">
        <v>9828152018</v>
      </c>
      <c r="H72" s="89">
        <v>16000</v>
      </c>
      <c r="I72" s="89">
        <v>15900</v>
      </c>
      <c r="J72" s="89">
        <v>3000</v>
      </c>
      <c r="K72" s="89"/>
      <c r="L72" s="89"/>
      <c r="M72" s="89"/>
      <c r="N72" s="89"/>
      <c r="O72" s="89">
        <f>K72+L72-M72</f>
        <v>0</v>
      </c>
    </row>
    <row r="73" spans="1:16" ht="36">
      <c r="A73" s="90">
        <v>71</v>
      </c>
      <c r="B73" s="90" t="s">
        <v>138</v>
      </c>
      <c r="C73" s="90" t="s">
        <v>318</v>
      </c>
      <c r="D73" s="90">
        <v>7</v>
      </c>
      <c r="E73" s="90">
        <v>35</v>
      </c>
      <c r="F73" s="90" t="s">
        <v>75</v>
      </c>
      <c r="G73" s="90">
        <v>9983886565</v>
      </c>
      <c r="H73" s="90">
        <v>20000</v>
      </c>
      <c r="I73" s="90">
        <v>15900</v>
      </c>
      <c r="J73" s="90">
        <v>4200</v>
      </c>
      <c r="K73" s="90">
        <v>3000</v>
      </c>
      <c r="L73" s="90"/>
      <c r="M73" s="90"/>
      <c r="N73" s="90"/>
      <c r="O73" s="90">
        <f>K73+L73-M73</f>
        <v>3000</v>
      </c>
    </row>
    <row r="74" spans="1:16" ht="24">
      <c r="A74" s="90">
        <v>72</v>
      </c>
      <c r="B74" s="90" t="s">
        <v>139</v>
      </c>
      <c r="C74" s="90"/>
      <c r="D74" s="90">
        <v>3</v>
      </c>
      <c r="E74" s="90">
        <v>35</v>
      </c>
      <c r="F74" s="90" t="s">
        <v>75</v>
      </c>
      <c r="G74" s="90"/>
      <c r="H74" s="90"/>
      <c r="I74" s="90">
        <v>13300</v>
      </c>
      <c r="J74" s="90">
        <v>4200</v>
      </c>
      <c r="K74" s="90">
        <v>0</v>
      </c>
      <c r="L74" s="90"/>
      <c r="M74" s="90"/>
      <c r="N74" s="90"/>
      <c r="O74" s="90"/>
    </row>
    <row r="75" spans="1:16" ht="24">
      <c r="A75" s="89">
        <v>73</v>
      </c>
      <c r="B75" s="89" t="s">
        <v>140</v>
      </c>
      <c r="C75" s="89" t="s">
        <v>517</v>
      </c>
      <c r="D75" s="89">
        <v>7</v>
      </c>
      <c r="E75" s="89">
        <v>36</v>
      </c>
      <c r="F75" s="89" t="s">
        <v>75</v>
      </c>
      <c r="G75" s="89"/>
      <c r="H75" s="89">
        <v>0</v>
      </c>
      <c r="I75" s="89">
        <v>0</v>
      </c>
      <c r="J75" s="89">
        <v>0</v>
      </c>
      <c r="K75" s="89">
        <v>0</v>
      </c>
      <c r="L75" s="89"/>
      <c r="M75" s="89"/>
      <c r="N75" s="89"/>
      <c r="O75" s="89">
        <f>K75+L75-M75</f>
        <v>0</v>
      </c>
    </row>
    <row r="76" spans="1:16" ht="24">
      <c r="A76" s="89">
        <v>74</v>
      </c>
      <c r="B76" s="89" t="s">
        <v>141</v>
      </c>
      <c r="C76" s="89"/>
      <c r="D76" s="89">
        <v>2</v>
      </c>
      <c r="E76" s="89">
        <v>36</v>
      </c>
      <c r="F76" s="89" t="s">
        <v>75</v>
      </c>
      <c r="G76" s="89"/>
      <c r="H76" s="89">
        <v>0</v>
      </c>
      <c r="I76" s="89">
        <v>0</v>
      </c>
      <c r="J76" s="89">
        <v>0</v>
      </c>
      <c r="K76" s="89">
        <v>0</v>
      </c>
      <c r="L76" s="89"/>
      <c r="M76" s="89"/>
      <c r="N76" s="89"/>
      <c r="O76" s="89"/>
    </row>
    <row r="77" spans="1:16" ht="24">
      <c r="A77" s="90">
        <v>75</v>
      </c>
      <c r="B77" s="90" t="s">
        <v>142</v>
      </c>
      <c r="C77" s="90" t="s">
        <v>319</v>
      </c>
      <c r="D77" s="90">
        <v>7</v>
      </c>
      <c r="E77" s="90">
        <v>37</v>
      </c>
      <c r="F77" s="90" t="s">
        <v>75</v>
      </c>
      <c r="G77" s="90">
        <v>9828342444</v>
      </c>
      <c r="H77" s="90">
        <v>24500</v>
      </c>
      <c r="I77" s="90">
        <v>15900</v>
      </c>
      <c r="J77" s="90">
        <v>4000</v>
      </c>
      <c r="K77" s="90">
        <v>0</v>
      </c>
      <c r="L77" s="90"/>
      <c r="M77" s="90"/>
      <c r="N77" s="90"/>
      <c r="O77" s="90">
        <f>K77+L77-M77</f>
        <v>0</v>
      </c>
    </row>
    <row r="78" spans="1:16" ht="24">
      <c r="A78" s="90">
        <v>76</v>
      </c>
      <c r="B78" s="90" t="s">
        <v>143</v>
      </c>
      <c r="C78" s="90"/>
      <c r="D78" s="90">
        <v>5</v>
      </c>
      <c r="E78" s="90">
        <v>37</v>
      </c>
      <c r="F78" s="90" t="s">
        <v>75</v>
      </c>
      <c r="G78" s="90"/>
      <c r="H78" s="90"/>
      <c r="I78" s="90">
        <v>14200</v>
      </c>
      <c r="J78" s="90">
        <v>4000</v>
      </c>
      <c r="K78" s="90"/>
      <c r="L78" s="90"/>
      <c r="M78" s="90"/>
      <c r="N78" s="90"/>
      <c r="O78" s="90"/>
    </row>
    <row r="79" spans="1:16" ht="24">
      <c r="A79" s="90">
        <v>77</v>
      </c>
      <c r="B79" s="90" t="s">
        <v>144</v>
      </c>
      <c r="C79" s="90"/>
      <c r="D79" s="90" t="s">
        <v>130</v>
      </c>
      <c r="E79" s="90">
        <v>37</v>
      </c>
      <c r="F79" s="90" t="s">
        <v>75</v>
      </c>
      <c r="G79" s="90"/>
      <c r="H79" s="90"/>
      <c r="I79" s="90">
        <v>9300</v>
      </c>
      <c r="J79" s="90">
        <v>4000</v>
      </c>
      <c r="K79" s="90"/>
      <c r="L79" s="90"/>
      <c r="M79" s="90"/>
      <c r="N79" s="90"/>
      <c r="O79" s="90"/>
    </row>
    <row r="80" spans="1:16" ht="36">
      <c r="A80" s="128">
        <v>78</v>
      </c>
      <c r="B80" s="128" t="s">
        <v>145</v>
      </c>
      <c r="C80" s="128" t="s">
        <v>518</v>
      </c>
      <c r="D80" s="128" t="s">
        <v>130</v>
      </c>
      <c r="E80" s="128">
        <v>37</v>
      </c>
      <c r="F80" s="128" t="s">
        <v>75</v>
      </c>
      <c r="G80" s="128"/>
      <c r="H80" s="128"/>
      <c r="I80" s="128">
        <v>9300</v>
      </c>
      <c r="J80" s="128">
        <v>4000</v>
      </c>
      <c r="K80" s="128"/>
      <c r="L80" s="128"/>
      <c r="M80" s="128"/>
      <c r="N80" s="128"/>
      <c r="O80" s="128"/>
    </row>
    <row r="81" spans="1:16" ht="36">
      <c r="A81" s="89">
        <v>79</v>
      </c>
      <c r="B81" s="89" t="s">
        <v>146</v>
      </c>
      <c r="C81" s="89" t="s">
        <v>320</v>
      </c>
      <c r="D81" s="89">
        <v>7</v>
      </c>
      <c r="E81" s="89">
        <v>38</v>
      </c>
      <c r="F81" s="89" t="s">
        <v>75</v>
      </c>
      <c r="G81" s="89">
        <v>8107427707</v>
      </c>
      <c r="H81" s="89">
        <v>20000</v>
      </c>
      <c r="I81" s="89">
        <v>15900</v>
      </c>
      <c r="J81" s="89">
        <v>5000</v>
      </c>
      <c r="K81" s="89">
        <v>0</v>
      </c>
      <c r="L81" s="89"/>
      <c r="M81" s="89"/>
      <c r="N81" s="89"/>
      <c r="O81" s="89">
        <f>K81+L81-M81</f>
        <v>0</v>
      </c>
    </row>
    <row r="82" spans="1:16" ht="24">
      <c r="A82" s="90">
        <v>80</v>
      </c>
      <c r="B82" s="90" t="s">
        <v>147</v>
      </c>
      <c r="C82" s="90" t="s">
        <v>321</v>
      </c>
      <c r="D82" s="90">
        <v>7</v>
      </c>
      <c r="E82" s="90">
        <v>39</v>
      </c>
      <c r="F82" s="90" t="s">
        <v>75</v>
      </c>
      <c r="G82" s="90">
        <v>9983091995</v>
      </c>
      <c r="H82" s="90">
        <v>14000</v>
      </c>
      <c r="I82" s="90">
        <v>15900</v>
      </c>
      <c r="J82" s="90">
        <v>2700</v>
      </c>
      <c r="K82" s="90">
        <v>8000</v>
      </c>
      <c r="L82" s="90"/>
      <c r="M82" s="90"/>
      <c r="N82" s="90"/>
      <c r="O82" s="90">
        <f>K82+L82-M82</f>
        <v>8000</v>
      </c>
    </row>
    <row r="83" spans="1:16" ht="24">
      <c r="A83" s="89">
        <v>81</v>
      </c>
      <c r="B83" s="92" t="s">
        <v>148</v>
      </c>
      <c r="C83" s="89" t="s">
        <v>322</v>
      </c>
      <c r="D83" s="89">
        <v>7</v>
      </c>
      <c r="E83" s="89">
        <v>40</v>
      </c>
      <c r="F83" s="89" t="s">
        <v>75</v>
      </c>
      <c r="G83" s="89">
        <v>9983957393</v>
      </c>
      <c r="H83" s="89">
        <v>36500</v>
      </c>
      <c r="I83" s="89">
        <v>15900</v>
      </c>
      <c r="J83" s="89">
        <v>2700</v>
      </c>
      <c r="K83" s="89">
        <v>26000</v>
      </c>
      <c r="L83" s="89"/>
      <c r="M83" s="89">
        <v>26000</v>
      </c>
      <c r="N83" s="89"/>
      <c r="O83" s="89">
        <f>K83+L83-M83</f>
        <v>0</v>
      </c>
    </row>
    <row r="84" spans="1:16" ht="24">
      <c r="A84" s="89">
        <v>82</v>
      </c>
      <c r="B84" s="92" t="s">
        <v>149</v>
      </c>
      <c r="C84" s="89"/>
      <c r="D84" s="89">
        <v>7</v>
      </c>
      <c r="E84" s="89">
        <v>40</v>
      </c>
      <c r="F84" s="89" t="s">
        <v>75</v>
      </c>
      <c r="G84" s="89"/>
      <c r="H84" s="89"/>
      <c r="I84" s="89">
        <v>15900</v>
      </c>
      <c r="J84" s="89">
        <v>2700</v>
      </c>
      <c r="K84" s="89">
        <v>0</v>
      </c>
      <c r="L84" s="89"/>
      <c r="M84" s="89"/>
      <c r="N84" s="89"/>
      <c r="O84" s="89"/>
    </row>
    <row r="85" spans="1:16">
      <c r="A85" s="89">
        <v>83</v>
      </c>
      <c r="B85" s="92" t="s">
        <v>150</v>
      </c>
      <c r="C85" s="89"/>
      <c r="D85" s="89">
        <v>5</v>
      </c>
      <c r="E85" s="89">
        <v>40</v>
      </c>
      <c r="F85" s="89" t="s">
        <v>75</v>
      </c>
      <c r="G85" s="89"/>
      <c r="H85" s="89"/>
      <c r="I85" s="89">
        <v>14200</v>
      </c>
      <c r="J85" s="89">
        <v>2700</v>
      </c>
      <c r="K85" s="89">
        <v>0</v>
      </c>
      <c r="L85" s="89"/>
      <c r="M85" s="89"/>
      <c r="N85" s="89"/>
      <c r="O85" s="89"/>
    </row>
    <row r="86" spans="1:16" ht="24">
      <c r="A86" s="89">
        <v>84</v>
      </c>
      <c r="B86" s="92" t="s">
        <v>151</v>
      </c>
      <c r="C86" s="89"/>
      <c r="D86" s="89">
        <v>1</v>
      </c>
      <c r="E86" s="89">
        <v>40</v>
      </c>
      <c r="F86" s="89" t="s">
        <v>75</v>
      </c>
      <c r="G86" s="89"/>
      <c r="H86" s="89"/>
      <c r="I86" s="89">
        <v>11500</v>
      </c>
      <c r="J86" s="89">
        <v>2700</v>
      </c>
      <c r="K86" s="89">
        <v>0</v>
      </c>
      <c r="L86" s="89"/>
      <c r="M86" s="89"/>
      <c r="N86" s="89"/>
      <c r="O86" s="89"/>
    </row>
    <row r="87" spans="1:16" ht="24">
      <c r="A87" s="90">
        <v>85</v>
      </c>
      <c r="B87" s="90" t="s">
        <v>152</v>
      </c>
      <c r="C87" s="90" t="s">
        <v>323</v>
      </c>
      <c r="D87" s="90">
        <v>7</v>
      </c>
      <c r="E87" s="90">
        <v>41</v>
      </c>
      <c r="F87" s="90" t="s">
        <v>75</v>
      </c>
      <c r="G87" s="90">
        <v>9460012025</v>
      </c>
      <c r="H87" s="90">
        <v>20000</v>
      </c>
      <c r="I87" s="90">
        <v>15900</v>
      </c>
      <c r="J87" s="90">
        <v>3500</v>
      </c>
      <c r="K87" s="90">
        <v>10000</v>
      </c>
      <c r="L87" s="90"/>
      <c r="M87" s="90"/>
      <c r="N87" s="90"/>
      <c r="O87" s="90">
        <f>K87+L87-M87</f>
        <v>10000</v>
      </c>
    </row>
    <row r="88" spans="1:16" ht="24">
      <c r="A88" s="90">
        <v>86</v>
      </c>
      <c r="B88" s="90" t="s">
        <v>153</v>
      </c>
      <c r="C88" s="90"/>
      <c r="D88" s="90">
        <v>5</v>
      </c>
      <c r="E88" s="90">
        <v>41</v>
      </c>
      <c r="F88" s="90" t="s">
        <v>75</v>
      </c>
      <c r="G88" s="90"/>
      <c r="H88" s="90"/>
      <c r="I88" s="90">
        <v>14200</v>
      </c>
      <c r="J88" s="90">
        <v>3500</v>
      </c>
      <c r="K88" s="90">
        <v>0</v>
      </c>
      <c r="L88" s="90"/>
      <c r="M88" s="90"/>
      <c r="N88" s="90"/>
      <c r="O88" s="90"/>
    </row>
    <row r="89" spans="1:16" ht="24">
      <c r="A89" s="89">
        <v>87</v>
      </c>
      <c r="B89" s="89" t="s">
        <v>154</v>
      </c>
      <c r="C89" s="89" t="s">
        <v>324</v>
      </c>
      <c r="D89" s="89">
        <v>7</v>
      </c>
      <c r="E89" s="89">
        <v>42</v>
      </c>
      <c r="F89" s="89" t="s">
        <v>75</v>
      </c>
      <c r="G89" s="89">
        <v>9929393894</v>
      </c>
      <c r="H89" s="89">
        <v>18000</v>
      </c>
      <c r="I89" s="89">
        <v>15900</v>
      </c>
      <c r="J89" s="89">
        <v>2000</v>
      </c>
      <c r="K89" s="89">
        <v>10200</v>
      </c>
      <c r="L89" s="89"/>
      <c r="M89" s="89"/>
      <c r="N89" s="89"/>
      <c r="O89" s="89">
        <f>K89+L89-M89</f>
        <v>10200</v>
      </c>
    </row>
    <row r="90" spans="1:16" ht="24">
      <c r="A90" s="89">
        <v>88</v>
      </c>
      <c r="B90" s="89" t="s">
        <v>155</v>
      </c>
      <c r="C90" s="89"/>
      <c r="D90" s="89">
        <v>3</v>
      </c>
      <c r="E90" s="89">
        <v>42</v>
      </c>
      <c r="F90" s="89" t="s">
        <v>75</v>
      </c>
      <c r="G90" s="89"/>
      <c r="H90" s="89"/>
      <c r="I90" s="89">
        <v>13300</v>
      </c>
      <c r="J90" s="89">
        <v>2000</v>
      </c>
      <c r="K90" s="89">
        <v>0</v>
      </c>
      <c r="L90" s="89"/>
      <c r="M90" s="89"/>
      <c r="N90" s="89"/>
      <c r="O90" s="89"/>
    </row>
    <row r="91" spans="1:16" ht="36">
      <c r="A91" s="90">
        <v>89</v>
      </c>
      <c r="B91" s="90" t="s">
        <v>156</v>
      </c>
      <c r="C91" s="90" t="s">
        <v>325</v>
      </c>
      <c r="D91" s="90">
        <v>6</v>
      </c>
      <c r="E91" s="90">
        <v>43</v>
      </c>
      <c r="F91" s="90" t="s">
        <v>75</v>
      </c>
      <c r="G91" s="90">
        <v>9828249151</v>
      </c>
      <c r="H91" s="90">
        <v>15000</v>
      </c>
      <c r="I91" s="90">
        <v>14700</v>
      </c>
      <c r="J91" s="90">
        <v>4200</v>
      </c>
      <c r="K91" s="90">
        <v>2000</v>
      </c>
      <c r="L91" s="90"/>
      <c r="M91" s="90"/>
      <c r="N91" s="90"/>
      <c r="O91" s="90">
        <f>K91+L91-M91</f>
        <v>2000</v>
      </c>
    </row>
    <row r="92" spans="1:16" ht="24">
      <c r="A92" s="89">
        <v>90</v>
      </c>
      <c r="B92" s="89" t="s">
        <v>157</v>
      </c>
      <c r="C92" s="89" t="s">
        <v>326</v>
      </c>
      <c r="D92" s="89">
        <v>6</v>
      </c>
      <c r="E92" s="89">
        <v>44</v>
      </c>
      <c r="F92" s="89" t="s">
        <v>75</v>
      </c>
      <c r="G92" s="89">
        <v>8690030561</v>
      </c>
      <c r="H92" s="89">
        <v>15000</v>
      </c>
      <c r="I92" s="89">
        <v>14700</v>
      </c>
      <c r="J92" s="89">
        <v>5000</v>
      </c>
      <c r="K92" s="89">
        <v>31000</v>
      </c>
      <c r="L92" s="89"/>
      <c r="M92" s="89"/>
      <c r="O92" s="89">
        <f>K92+L92-M92</f>
        <v>31000</v>
      </c>
    </row>
    <row r="93" spans="1:16" ht="36">
      <c r="A93" s="90">
        <v>91</v>
      </c>
      <c r="B93" s="90" t="s">
        <v>158</v>
      </c>
      <c r="C93" s="90" t="s">
        <v>456</v>
      </c>
      <c r="D93" s="90">
        <v>6</v>
      </c>
      <c r="E93" s="90">
        <v>45</v>
      </c>
      <c r="F93" s="90" t="s">
        <v>75</v>
      </c>
      <c r="G93" s="90" t="s">
        <v>455</v>
      </c>
      <c r="H93" s="90">
        <v>13000</v>
      </c>
      <c r="I93" s="90">
        <v>14700</v>
      </c>
      <c r="J93" s="90">
        <v>4700</v>
      </c>
      <c r="K93" s="90">
        <v>0</v>
      </c>
      <c r="L93" s="90"/>
      <c r="M93" s="90">
        <v>500</v>
      </c>
      <c r="N93" s="90"/>
      <c r="O93" s="90">
        <f>K93+L93-M93</f>
        <v>-500</v>
      </c>
    </row>
    <row r="94" spans="1:16" ht="24">
      <c r="A94" s="89">
        <v>92</v>
      </c>
      <c r="B94" s="89" t="s">
        <v>159</v>
      </c>
      <c r="C94" s="89" t="s">
        <v>327</v>
      </c>
      <c r="D94" s="89">
        <v>6</v>
      </c>
      <c r="E94" s="89">
        <v>46</v>
      </c>
      <c r="F94" s="89" t="s">
        <v>75</v>
      </c>
      <c r="G94" s="89">
        <v>9983359901</v>
      </c>
      <c r="H94" s="89">
        <v>15000</v>
      </c>
      <c r="I94" s="89">
        <v>14700</v>
      </c>
      <c r="J94" s="89">
        <v>0</v>
      </c>
      <c r="K94" s="89">
        <v>0</v>
      </c>
      <c r="L94" s="89"/>
      <c r="M94" s="89"/>
      <c r="N94" s="89"/>
      <c r="O94" s="89">
        <f>K94+L94-M94</f>
        <v>0</v>
      </c>
    </row>
    <row r="95" spans="1:16" ht="24">
      <c r="A95" s="89">
        <v>93</v>
      </c>
      <c r="B95" s="89" t="s">
        <v>160</v>
      </c>
      <c r="C95" s="89"/>
      <c r="D95" s="89">
        <v>4</v>
      </c>
      <c r="E95" s="89">
        <v>46</v>
      </c>
      <c r="F95" s="89" t="s">
        <v>75</v>
      </c>
      <c r="G95" s="89"/>
      <c r="H95" s="89"/>
      <c r="I95" s="89">
        <v>13900</v>
      </c>
      <c r="J95" s="89">
        <v>0</v>
      </c>
      <c r="K95" s="89">
        <v>0</v>
      </c>
      <c r="L95" s="89"/>
      <c r="M95" s="89"/>
      <c r="N95" s="89"/>
      <c r="O95" s="89"/>
    </row>
    <row r="96" spans="1:16" ht="36">
      <c r="A96" s="90">
        <v>94</v>
      </c>
      <c r="B96" s="90" t="s">
        <v>95</v>
      </c>
      <c r="C96" s="90" t="s">
        <v>328</v>
      </c>
      <c r="D96" s="90">
        <v>6</v>
      </c>
      <c r="E96" s="90">
        <v>47</v>
      </c>
      <c r="F96" s="90" t="s">
        <v>76</v>
      </c>
      <c r="G96" s="90">
        <v>9982889009</v>
      </c>
      <c r="H96" s="90">
        <v>5000</v>
      </c>
      <c r="I96" s="90">
        <v>0</v>
      </c>
      <c r="J96" s="90">
        <v>2500</v>
      </c>
      <c r="K96" s="90">
        <v>3000</v>
      </c>
      <c r="L96" s="90"/>
      <c r="M96" s="90"/>
      <c r="N96" s="90"/>
      <c r="O96" s="90">
        <f>K96+L96-M96</f>
        <v>3000</v>
      </c>
      <c r="P96" s="99"/>
    </row>
    <row r="97" spans="1:16" ht="24">
      <c r="A97" s="90">
        <v>95</v>
      </c>
      <c r="B97" s="90" t="s">
        <v>161</v>
      </c>
      <c r="C97" s="90"/>
      <c r="D97" s="90">
        <v>4</v>
      </c>
      <c r="E97" s="90">
        <v>47</v>
      </c>
      <c r="F97" s="90" t="s">
        <v>76</v>
      </c>
      <c r="G97" s="90"/>
      <c r="H97" s="90"/>
      <c r="I97" s="90">
        <v>0</v>
      </c>
      <c r="J97" s="90">
        <v>2500</v>
      </c>
      <c r="K97" s="90">
        <v>0</v>
      </c>
      <c r="L97" s="90"/>
      <c r="M97" s="90"/>
      <c r="N97" s="90"/>
      <c r="O97" s="90"/>
      <c r="P97" s="99"/>
    </row>
    <row r="98" spans="1:16" ht="24">
      <c r="A98" s="89">
        <v>96</v>
      </c>
      <c r="B98" s="89" t="s">
        <v>162</v>
      </c>
      <c r="C98" s="89" t="s">
        <v>329</v>
      </c>
      <c r="D98" s="89">
        <v>6</v>
      </c>
      <c r="E98" s="89">
        <v>48</v>
      </c>
      <c r="F98" s="89" t="s">
        <v>75</v>
      </c>
      <c r="G98" s="89">
        <v>9929160186</v>
      </c>
      <c r="H98" s="89">
        <v>40000</v>
      </c>
      <c r="I98" s="89">
        <v>14700</v>
      </c>
      <c r="J98" s="89">
        <v>2400</v>
      </c>
      <c r="K98" s="89">
        <v>15000</v>
      </c>
      <c r="L98" s="89"/>
      <c r="M98" s="89">
        <v>6000</v>
      </c>
      <c r="N98" s="89"/>
      <c r="O98" s="89">
        <f>K98+L98-M98</f>
        <v>9000</v>
      </c>
    </row>
    <row r="99" spans="1:16" ht="24">
      <c r="A99" s="89">
        <v>97</v>
      </c>
      <c r="B99" s="89" t="s">
        <v>163</v>
      </c>
      <c r="C99" s="89" t="s">
        <v>330</v>
      </c>
      <c r="D99" s="89">
        <v>5</v>
      </c>
      <c r="E99" s="89">
        <v>48</v>
      </c>
      <c r="F99" s="89" t="s">
        <v>75</v>
      </c>
      <c r="G99" s="89"/>
      <c r="H99" s="89"/>
      <c r="I99" s="89">
        <v>14200</v>
      </c>
      <c r="J99" s="89">
        <v>2400</v>
      </c>
      <c r="K99" s="89">
        <v>0</v>
      </c>
      <c r="L99" s="89"/>
      <c r="M99" s="89"/>
      <c r="N99" s="89"/>
      <c r="O99" s="89"/>
    </row>
    <row r="100" spans="1:16" ht="24">
      <c r="A100" s="89">
        <v>98</v>
      </c>
      <c r="B100" s="89" t="s">
        <v>164</v>
      </c>
      <c r="C100" s="89"/>
      <c r="D100" s="89">
        <v>2</v>
      </c>
      <c r="E100" s="89">
        <v>48</v>
      </c>
      <c r="F100" s="89" t="s">
        <v>75</v>
      </c>
      <c r="G100" s="89"/>
      <c r="H100" s="89"/>
      <c r="I100" s="89">
        <v>12000</v>
      </c>
      <c r="J100" s="89">
        <v>2400</v>
      </c>
      <c r="K100" s="89">
        <v>0</v>
      </c>
      <c r="L100" s="89"/>
      <c r="M100" s="89"/>
      <c r="N100" s="89"/>
      <c r="O100" s="89"/>
    </row>
    <row r="101" spans="1:16" ht="24">
      <c r="A101" s="89">
        <v>99</v>
      </c>
      <c r="B101" s="89" t="s">
        <v>165</v>
      </c>
      <c r="C101" s="89"/>
      <c r="D101" s="89">
        <v>4</v>
      </c>
      <c r="E101" s="89">
        <v>48</v>
      </c>
      <c r="F101" s="89" t="s">
        <v>75</v>
      </c>
      <c r="G101" s="89"/>
      <c r="H101" s="89"/>
      <c r="I101" s="89">
        <v>13900</v>
      </c>
      <c r="J101" s="89">
        <v>2400</v>
      </c>
      <c r="K101" s="89">
        <v>0</v>
      </c>
      <c r="L101" s="89"/>
      <c r="M101" s="89"/>
      <c r="N101" s="89"/>
      <c r="O101" s="89"/>
    </row>
    <row r="102" spans="1:16" ht="24">
      <c r="A102" s="90">
        <v>100</v>
      </c>
      <c r="B102" s="90" t="s">
        <v>166</v>
      </c>
      <c r="C102" s="90" t="s">
        <v>331</v>
      </c>
      <c r="D102" s="90">
        <v>6</v>
      </c>
      <c r="E102" s="90">
        <v>49</v>
      </c>
      <c r="F102" s="90" t="s">
        <v>75</v>
      </c>
      <c r="G102" s="90">
        <v>8107448001</v>
      </c>
      <c r="H102" s="90">
        <v>11000</v>
      </c>
      <c r="I102" s="90">
        <v>14700</v>
      </c>
      <c r="J102" s="90">
        <v>5000</v>
      </c>
      <c r="K102" s="90">
        <v>2000</v>
      </c>
      <c r="L102" s="90"/>
      <c r="M102" s="90"/>
      <c r="N102" s="90"/>
      <c r="O102" s="90">
        <f>K102+L102-M102</f>
        <v>2000</v>
      </c>
    </row>
    <row r="103" spans="1:16" ht="24">
      <c r="A103" s="89">
        <v>101</v>
      </c>
      <c r="B103" s="89" t="s">
        <v>167</v>
      </c>
      <c r="C103" s="89" t="s">
        <v>332</v>
      </c>
      <c r="D103" s="89">
        <v>6</v>
      </c>
      <c r="E103" s="89">
        <v>50</v>
      </c>
      <c r="F103" s="89" t="s">
        <v>75</v>
      </c>
      <c r="G103" s="89">
        <v>9928048821</v>
      </c>
      <c r="H103" s="89">
        <v>25000</v>
      </c>
      <c r="I103" s="89">
        <v>14700</v>
      </c>
      <c r="J103" s="89">
        <v>5200</v>
      </c>
      <c r="K103" s="89">
        <v>10000</v>
      </c>
      <c r="L103" s="89"/>
      <c r="M103" s="89"/>
      <c r="N103" s="89"/>
      <c r="O103" s="89"/>
    </row>
    <row r="104" spans="1:16" ht="24">
      <c r="A104" s="89">
        <v>102</v>
      </c>
      <c r="B104" s="89" t="s">
        <v>168</v>
      </c>
      <c r="C104" s="89"/>
      <c r="D104" s="89">
        <v>6</v>
      </c>
      <c r="E104" s="89">
        <v>50</v>
      </c>
      <c r="F104" s="89" t="s">
        <v>75</v>
      </c>
      <c r="G104" s="89"/>
      <c r="H104" s="89"/>
      <c r="I104" s="89">
        <v>14700</v>
      </c>
      <c r="J104" s="89">
        <v>5200</v>
      </c>
      <c r="K104" s="89"/>
      <c r="L104" s="89"/>
      <c r="M104" s="89"/>
      <c r="N104" s="89"/>
      <c r="O104" s="89"/>
    </row>
    <row r="105" spans="1:16" ht="24">
      <c r="A105" s="89">
        <v>103</v>
      </c>
      <c r="B105" s="89" t="s">
        <v>170</v>
      </c>
      <c r="C105" s="89"/>
      <c r="D105" s="89" t="s">
        <v>130</v>
      </c>
      <c r="E105" s="89">
        <v>50</v>
      </c>
      <c r="F105" s="89" t="s">
        <v>75</v>
      </c>
      <c r="G105" s="89"/>
      <c r="H105" s="89"/>
      <c r="I105" s="89">
        <v>9300</v>
      </c>
      <c r="J105" s="89">
        <v>5200</v>
      </c>
      <c r="K105" s="89"/>
      <c r="L105" s="89"/>
      <c r="M105" s="89"/>
      <c r="N105" s="89"/>
      <c r="O105" s="89"/>
    </row>
    <row r="106" spans="1:16" ht="24">
      <c r="A106" s="89">
        <v>104</v>
      </c>
      <c r="B106" s="89" t="s">
        <v>171</v>
      </c>
      <c r="C106" s="89"/>
      <c r="D106" s="89" t="s">
        <v>130</v>
      </c>
      <c r="E106" s="89">
        <v>50</v>
      </c>
      <c r="F106" s="89" t="s">
        <v>75</v>
      </c>
      <c r="G106" s="89"/>
      <c r="H106" s="89"/>
      <c r="I106" s="89">
        <v>9300</v>
      </c>
      <c r="J106" s="89">
        <v>5200</v>
      </c>
      <c r="K106" s="89"/>
      <c r="L106" s="89"/>
      <c r="M106" s="89"/>
      <c r="N106" s="89"/>
      <c r="O106" s="89"/>
    </row>
    <row r="107" spans="1:16" ht="36">
      <c r="A107" s="90">
        <v>105</v>
      </c>
      <c r="B107" s="90" t="s">
        <v>169</v>
      </c>
      <c r="C107" s="90" t="s">
        <v>333</v>
      </c>
      <c r="D107" s="90">
        <v>6</v>
      </c>
      <c r="E107" s="90">
        <v>51</v>
      </c>
      <c r="F107" s="90" t="s">
        <v>75</v>
      </c>
      <c r="G107" s="90">
        <v>9929050231</v>
      </c>
      <c r="H107" s="90">
        <v>25000</v>
      </c>
      <c r="I107" s="90">
        <v>14700</v>
      </c>
      <c r="J107" s="90">
        <v>2800</v>
      </c>
      <c r="K107" s="90">
        <v>0</v>
      </c>
      <c r="L107" s="90"/>
      <c r="M107" s="90"/>
      <c r="N107" s="90"/>
      <c r="O107" s="90">
        <f>K107+L107-M107</f>
        <v>0</v>
      </c>
    </row>
    <row r="108" spans="1:16" ht="24">
      <c r="A108" s="90">
        <v>106</v>
      </c>
      <c r="B108" s="90" t="s">
        <v>172</v>
      </c>
      <c r="C108" s="90"/>
      <c r="D108" s="90">
        <v>3</v>
      </c>
      <c r="E108" s="90">
        <v>51</v>
      </c>
      <c r="F108" s="90" t="s">
        <v>75</v>
      </c>
      <c r="G108" s="90"/>
      <c r="H108" s="90"/>
      <c r="I108" s="90">
        <v>13300</v>
      </c>
      <c r="J108" s="90">
        <v>2800</v>
      </c>
      <c r="K108" s="90"/>
      <c r="L108" s="90"/>
      <c r="M108" s="90"/>
      <c r="N108" s="90"/>
      <c r="O108" s="90"/>
    </row>
    <row r="109" spans="1:16" ht="24">
      <c r="A109" s="90">
        <v>107</v>
      </c>
      <c r="B109" s="90" t="s">
        <v>173</v>
      </c>
      <c r="C109" s="90"/>
      <c r="D109" s="90">
        <v>1</v>
      </c>
      <c r="E109" s="90">
        <v>51</v>
      </c>
      <c r="F109" s="90" t="s">
        <v>75</v>
      </c>
      <c r="G109" s="90"/>
      <c r="H109" s="90"/>
      <c r="I109" s="90">
        <v>11500</v>
      </c>
      <c r="J109" s="90">
        <v>2800</v>
      </c>
      <c r="K109" s="90"/>
      <c r="L109" s="90"/>
      <c r="M109" s="90"/>
      <c r="N109" s="90"/>
      <c r="O109" s="90"/>
    </row>
    <row r="110" spans="1:16" ht="36">
      <c r="A110" s="90"/>
      <c r="B110" s="90" t="s">
        <v>529</v>
      </c>
      <c r="C110" s="90" t="s">
        <v>528</v>
      </c>
      <c r="D110" s="90" t="s">
        <v>130</v>
      </c>
      <c r="E110" s="90"/>
      <c r="F110" s="90" t="s">
        <v>75</v>
      </c>
      <c r="G110" s="90"/>
      <c r="H110" s="90"/>
      <c r="I110" s="90">
        <v>9300</v>
      </c>
      <c r="J110" s="90">
        <v>2800</v>
      </c>
      <c r="K110" s="90">
        <v>0</v>
      </c>
      <c r="L110" s="90"/>
      <c r="M110" s="90"/>
      <c r="N110" s="90"/>
      <c r="O110" s="90"/>
    </row>
    <row r="111" spans="1:16" ht="48">
      <c r="A111" s="89">
        <v>108</v>
      </c>
      <c r="B111" s="92" t="s">
        <v>174</v>
      </c>
      <c r="C111" s="92" t="s">
        <v>334</v>
      </c>
      <c r="D111" s="89">
        <v>6</v>
      </c>
      <c r="E111" s="89">
        <v>52</v>
      </c>
      <c r="F111" s="89" t="s">
        <v>75</v>
      </c>
      <c r="G111" s="89">
        <v>9549142881</v>
      </c>
      <c r="H111" s="89">
        <v>31000</v>
      </c>
      <c r="I111" s="89">
        <v>14700</v>
      </c>
      <c r="J111" s="89">
        <v>2000</v>
      </c>
      <c r="K111" s="89">
        <v>10000</v>
      </c>
      <c r="L111" s="89"/>
      <c r="M111" s="89"/>
      <c r="N111" s="89"/>
      <c r="O111" s="89">
        <f>K111+L111-M111</f>
        <v>10000</v>
      </c>
    </row>
    <row r="112" spans="1:16" ht="24">
      <c r="A112" s="89">
        <v>109</v>
      </c>
      <c r="B112" s="89" t="s">
        <v>175</v>
      </c>
      <c r="C112" s="89"/>
      <c r="D112" s="89">
        <v>4</v>
      </c>
      <c r="E112" s="89">
        <v>52</v>
      </c>
      <c r="F112" s="89" t="s">
        <v>75</v>
      </c>
      <c r="G112" s="89"/>
      <c r="H112" s="89"/>
      <c r="I112" s="89">
        <v>13900</v>
      </c>
      <c r="J112" s="89">
        <v>2000</v>
      </c>
      <c r="K112" s="89"/>
      <c r="L112" s="89"/>
      <c r="M112" s="89"/>
      <c r="N112" s="89"/>
      <c r="O112" s="89"/>
    </row>
    <row r="113" spans="1:15">
      <c r="A113" s="89">
        <v>111</v>
      </c>
      <c r="B113" s="89" t="s">
        <v>177</v>
      </c>
      <c r="C113" s="89"/>
      <c r="D113" s="89" t="s">
        <v>130</v>
      </c>
      <c r="E113" s="89">
        <v>52</v>
      </c>
      <c r="F113" s="89" t="s">
        <v>75</v>
      </c>
      <c r="G113" s="89"/>
      <c r="H113" s="89"/>
      <c r="I113" s="89">
        <v>9300</v>
      </c>
      <c r="J113" s="89">
        <v>2000</v>
      </c>
      <c r="K113" s="89"/>
      <c r="L113" s="89"/>
      <c r="M113" s="89"/>
      <c r="N113" s="89"/>
      <c r="O113" s="89"/>
    </row>
    <row r="114" spans="1:15" ht="24">
      <c r="A114" s="89">
        <v>112</v>
      </c>
      <c r="B114" s="89" t="s">
        <v>178</v>
      </c>
      <c r="C114" s="89" t="s">
        <v>125</v>
      </c>
      <c r="D114" s="89" t="s">
        <v>130</v>
      </c>
      <c r="E114" s="89">
        <v>52</v>
      </c>
      <c r="F114" s="89" t="s">
        <v>75</v>
      </c>
      <c r="G114" s="89"/>
      <c r="H114" s="89"/>
      <c r="I114" s="89">
        <v>9300</v>
      </c>
      <c r="J114" s="89">
        <v>2000</v>
      </c>
      <c r="K114" s="89"/>
      <c r="L114" s="89"/>
      <c r="M114" s="89"/>
      <c r="N114" s="89"/>
      <c r="O114" s="89"/>
    </row>
    <row r="115" spans="1:15" ht="24">
      <c r="A115" s="89">
        <v>110</v>
      </c>
      <c r="B115" s="89" t="s">
        <v>176</v>
      </c>
      <c r="C115" s="89"/>
      <c r="D115" s="89">
        <v>1</v>
      </c>
      <c r="E115" s="89">
        <v>52</v>
      </c>
      <c r="F115" s="89" t="s">
        <v>75</v>
      </c>
      <c r="G115" s="89"/>
      <c r="H115" s="89"/>
      <c r="I115" s="89">
        <v>11500</v>
      </c>
      <c r="J115" s="89">
        <v>2000</v>
      </c>
      <c r="K115" s="89"/>
      <c r="L115" s="89"/>
      <c r="M115" s="89"/>
      <c r="N115" s="89"/>
      <c r="O115" s="89"/>
    </row>
    <row r="116" spans="1:15" ht="24">
      <c r="A116" s="90">
        <v>113</v>
      </c>
      <c r="B116" s="90" t="s">
        <v>179</v>
      </c>
      <c r="C116" s="90" t="s">
        <v>335</v>
      </c>
      <c r="D116" s="90">
        <v>6</v>
      </c>
      <c r="E116" s="90">
        <v>53</v>
      </c>
      <c r="F116" s="90" t="s">
        <v>75</v>
      </c>
      <c r="G116" s="90">
        <v>8426969905</v>
      </c>
      <c r="H116" s="90">
        <v>14000</v>
      </c>
      <c r="I116" s="90">
        <v>14700</v>
      </c>
      <c r="J116" s="90">
        <v>4200</v>
      </c>
      <c r="K116" s="90">
        <v>2000</v>
      </c>
      <c r="L116" s="90"/>
      <c r="M116" s="90"/>
      <c r="N116" s="90"/>
      <c r="O116" s="90">
        <f t="shared" ref="O116:O121" si="1">K116+L116-M116</f>
        <v>2000</v>
      </c>
    </row>
    <row r="117" spans="1:15" ht="24">
      <c r="A117" s="89">
        <v>114</v>
      </c>
      <c r="B117" s="89" t="s">
        <v>180</v>
      </c>
      <c r="C117" s="89" t="s">
        <v>336</v>
      </c>
      <c r="D117" s="89">
        <v>6</v>
      </c>
      <c r="E117" s="89">
        <v>54</v>
      </c>
      <c r="F117" s="89" t="s">
        <v>75</v>
      </c>
      <c r="G117" s="89">
        <v>7690032086</v>
      </c>
      <c r="H117" s="89">
        <v>10000</v>
      </c>
      <c r="I117" s="89">
        <v>14700</v>
      </c>
      <c r="J117" s="89">
        <v>0</v>
      </c>
      <c r="K117" s="89">
        <v>3000</v>
      </c>
      <c r="L117" s="89"/>
      <c r="M117" s="89"/>
      <c r="N117" s="89"/>
      <c r="O117" s="89">
        <f t="shared" si="1"/>
        <v>3000</v>
      </c>
    </row>
    <row r="118" spans="1:15" s="124" customFormat="1" ht="60">
      <c r="A118" s="127">
        <v>115</v>
      </c>
      <c r="B118" s="127" t="s">
        <v>181</v>
      </c>
      <c r="C118" s="127" t="s">
        <v>337</v>
      </c>
      <c r="D118" s="127">
        <v>6</v>
      </c>
      <c r="E118" s="127">
        <v>55</v>
      </c>
      <c r="F118" s="127" t="s">
        <v>75</v>
      </c>
      <c r="G118" s="127">
        <v>9549114451</v>
      </c>
      <c r="H118" s="127">
        <v>9000</v>
      </c>
      <c r="I118" s="127">
        <v>14700</v>
      </c>
      <c r="J118" s="127">
        <v>2500</v>
      </c>
      <c r="K118" s="127">
        <v>3000</v>
      </c>
      <c r="L118" s="127"/>
      <c r="M118" s="127"/>
      <c r="N118" s="127"/>
      <c r="O118" s="127">
        <f t="shared" si="1"/>
        <v>3000</v>
      </c>
    </row>
    <row r="119" spans="1:15" ht="36">
      <c r="A119" s="89">
        <v>116</v>
      </c>
      <c r="B119" s="89" t="s">
        <v>182</v>
      </c>
      <c r="C119" s="89" t="s">
        <v>338</v>
      </c>
      <c r="D119" s="89">
        <v>6</v>
      </c>
      <c r="E119" s="89">
        <v>56</v>
      </c>
      <c r="F119" s="89" t="s">
        <v>75</v>
      </c>
      <c r="G119" s="89">
        <v>9929219398</v>
      </c>
      <c r="H119" s="89">
        <v>15000</v>
      </c>
      <c r="I119" s="89">
        <v>14700</v>
      </c>
      <c r="J119" s="89">
        <v>5000</v>
      </c>
      <c r="K119" s="89">
        <v>0</v>
      </c>
      <c r="L119" s="89"/>
      <c r="M119" s="89"/>
      <c r="N119" s="89"/>
      <c r="O119" s="89">
        <f t="shared" si="1"/>
        <v>0</v>
      </c>
    </row>
    <row r="120" spans="1:15" ht="24">
      <c r="A120" s="90">
        <v>117</v>
      </c>
      <c r="B120" s="90" t="s">
        <v>183</v>
      </c>
      <c r="C120" s="90" t="s">
        <v>339</v>
      </c>
      <c r="D120" s="90">
        <v>6</v>
      </c>
      <c r="E120" s="90">
        <v>57</v>
      </c>
      <c r="F120" s="90" t="s">
        <v>75</v>
      </c>
      <c r="G120" s="90">
        <v>8058762864</v>
      </c>
      <c r="H120" s="90">
        <v>8500</v>
      </c>
      <c r="I120" s="90">
        <v>14700</v>
      </c>
      <c r="J120" s="90">
        <v>2500</v>
      </c>
      <c r="K120" s="90">
        <v>0</v>
      </c>
      <c r="L120" s="90"/>
      <c r="M120" s="90"/>
      <c r="N120" s="90"/>
      <c r="O120" s="90">
        <f t="shared" si="1"/>
        <v>0</v>
      </c>
    </row>
    <row r="121" spans="1:15" ht="24">
      <c r="A121" s="89">
        <v>118</v>
      </c>
      <c r="B121" s="89" t="s">
        <v>184</v>
      </c>
      <c r="C121" s="89" t="s">
        <v>340</v>
      </c>
      <c r="D121" s="89">
        <v>5</v>
      </c>
      <c r="E121" s="89">
        <v>58</v>
      </c>
      <c r="F121" s="89" t="s">
        <v>75</v>
      </c>
      <c r="G121" s="89">
        <v>9982449655</v>
      </c>
      <c r="H121" s="89">
        <v>20000</v>
      </c>
      <c r="I121" s="89">
        <v>14200</v>
      </c>
      <c r="J121" s="89">
        <v>4700</v>
      </c>
      <c r="K121" s="89">
        <v>0</v>
      </c>
      <c r="L121" s="89"/>
      <c r="M121" s="89"/>
      <c r="N121" s="89"/>
      <c r="O121" s="89">
        <f t="shared" si="1"/>
        <v>0</v>
      </c>
    </row>
    <row r="122" spans="1:15">
      <c r="A122" s="89">
        <v>119</v>
      </c>
      <c r="B122" s="89" t="s">
        <v>185</v>
      </c>
      <c r="C122" s="89"/>
      <c r="D122" s="89">
        <v>2</v>
      </c>
      <c r="E122" s="89">
        <v>58</v>
      </c>
      <c r="F122" s="89" t="s">
        <v>75</v>
      </c>
      <c r="G122" s="89"/>
      <c r="H122" s="89"/>
      <c r="I122" s="89">
        <v>12000</v>
      </c>
      <c r="J122" s="89">
        <v>4700</v>
      </c>
      <c r="K122" s="89">
        <v>0</v>
      </c>
      <c r="L122" s="89"/>
      <c r="M122" s="89"/>
      <c r="N122" s="89"/>
      <c r="O122" s="89"/>
    </row>
    <row r="123" spans="1:15" ht="24">
      <c r="A123" s="89">
        <v>120</v>
      </c>
      <c r="B123" s="89" t="s">
        <v>186</v>
      </c>
      <c r="C123" s="89"/>
      <c r="D123" s="89" t="s">
        <v>102</v>
      </c>
      <c r="E123" s="89">
        <v>58</v>
      </c>
      <c r="F123" s="89" t="s">
        <v>75</v>
      </c>
      <c r="G123" s="89"/>
      <c r="H123" s="89"/>
      <c r="I123" s="89">
        <v>9800</v>
      </c>
      <c r="J123" s="89">
        <v>4700</v>
      </c>
      <c r="K123" s="89">
        <v>0</v>
      </c>
      <c r="L123" s="89"/>
      <c r="M123" s="89"/>
      <c r="N123" s="89"/>
      <c r="O123" s="89"/>
    </row>
    <row r="124" spans="1:15" ht="24">
      <c r="A124" s="90">
        <v>121</v>
      </c>
      <c r="B124" s="90" t="s">
        <v>187</v>
      </c>
      <c r="C124" s="90" t="s">
        <v>341</v>
      </c>
      <c r="D124" s="90">
        <v>5</v>
      </c>
      <c r="E124" s="90">
        <v>59</v>
      </c>
      <c r="F124" s="90" t="s">
        <v>75</v>
      </c>
      <c r="G124" s="90">
        <v>9828565028</v>
      </c>
      <c r="H124" s="90">
        <v>25000</v>
      </c>
      <c r="I124" s="90">
        <v>14200</v>
      </c>
      <c r="J124" s="90">
        <v>3000</v>
      </c>
      <c r="K124" s="90">
        <v>4000</v>
      </c>
      <c r="L124" s="90"/>
      <c r="M124" s="90"/>
      <c r="N124" s="90"/>
      <c r="O124" s="90">
        <f>K124+L124-M124</f>
        <v>4000</v>
      </c>
    </row>
    <row r="125" spans="1:15" ht="24">
      <c r="A125" s="90">
        <v>122</v>
      </c>
      <c r="B125" s="90" t="s">
        <v>188</v>
      </c>
      <c r="C125" s="90"/>
      <c r="D125" s="90">
        <v>4</v>
      </c>
      <c r="E125" s="90">
        <v>59</v>
      </c>
      <c r="F125" s="90" t="s">
        <v>75</v>
      </c>
      <c r="G125" s="90"/>
      <c r="H125" s="90"/>
      <c r="I125" s="90">
        <v>13900</v>
      </c>
      <c r="J125" s="90">
        <v>3000</v>
      </c>
      <c r="K125" s="90"/>
      <c r="L125" s="90"/>
      <c r="M125" s="90"/>
      <c r="N125" s="90"/>
      <c r="O125" s="90"/>
    </row>
    <row r="126" spans="1:15" ht="36">
      <c r="A126" s="89">
        <v>123</v>
      </c>
      <c r="B126" s="89" t="s">
        <v>189</v>
      </c>
      <c r="C126" s="89" t="s">
        <v>342</v>
      </c>
      <c r="D126" s="89">
        <v>5</v>
      </c>
      <c r="E126" s="89">
        <v>60</v>
      </c>
      <c r="F126" s="89" t="s">
        <v>75</v>
      </c>
      <c r="G126" s="89">
        <v>8696025117</v>
      </c>
      <c r="H126" s="89">
        <v>20000</v>
      </c>
      <c r="I126" s="89">
        <v>14200</v>
      </c>
      <c r="J126" s="89">
        <v>3000</v>
      </c>
      <c r="K126" s="89">
        <v>4000</v>
      </c>
      <c r="L126" s="89"/>
      <c r="M126" s="89"/>
      <c r="N126" s="89"/>
      <c r="O126" s="89">
        <f>K126+L126-M126</f>
        <v>4000</v>
      </c>
    </row>
    <row r="127" spans="1:15" ht="24">
      <c r="A127" s="89">
        <v>124</v>
      </c>
      <c r="B127" s="89" t="s">
        <v>190</v>
      </c>
      <c r="C127" s="89"/>
      <c r="D127" s="89">
        <v>4</v>
      </c>
      <c r="E127" s="89">
        <v>60</v>
      </c>
      <c r="F127" s="89" t="s">
        <v>76</v>
      </c>
      <c r="G127" s="89"/>
      <c r="H127" s="89"/>
      <c r="I127" s="89">
        <v>0</v>
      </c>
      <c r="J127" s="89">
        <v>3000</v>
      </c>
      <c r="K127" s="89"/>
      <c r="L127" s="89"/>
      <c r="M127" s="89"/>
      <c r="N127" s="89"/>
      <c r="O127" s="89"/>
    </row>
    <row r="128" spans="1:15" ht="24">
      <c r="A128" s="89">
        <v>125</v>
      </c>
      <c r="B128" s="89" t="s">
        <v>191</v>
      </c>
      <c r="C128" s="89"/>
      <c r="D128" s="89" t="s">
        <v>102</v>
      </c>
      <c r="E128" s="89">
        <v>60</v>
      </c>
      <c r="F128" s="89" t="s">
        <v>76</v>
      </c>
      <c r="G128" s="89"/>
      <c r="H128" s="89"/>
      <c r="I128" s="89">
        <v>0</v>
      </c>
      <c r="J128" s="89">
        <v>3000</v>
      </c>
      <c r="K128" s="89"/>
      <c r="L128" s="89"/>
      <c r="M128" s="89"/>
      <c r="N128" s="89"/>
      <c r="O128" s="89"/>
    </row>
    <row r="129" spans="1:15" ht="36">
      <c r="A129" s="90">
        <v>126</v>
      </c>
      <c r="B129" s="90" t="s">
        <v>192</v>
      </c>
      <c r="C129" s="90" t="s">
        <v>343</v>
      </c>
      <c r="D129" s="90">
        <v>5</v>
      </c>
      <c r="E129" s="90">
        <v>61</v>
      </c>
      <c r="F129" s="90" t="s">
        <v>75</v>
      </c>
      <c r="G129" s="90">
        <v>9828998919</v>
      </c>
      <c r="H129" s="90">
        <v>25000</v>
      </c>
      <c r="I129" s="90">
        <v>14200</v>
      </c>
      <c r="J129" s="90">
        <v>3000</v>
      </c>
      <c r="K129" s="90">
        <v>5000</v>
      </c>
      <c r="L129" s="90"/>
      <c r="M129" s="90"/>
      <c r="N129" s="90"/>
      <c r="O129" s="90">
        <f>K129+L129-M129</f>
        <v>5000</v>
      </c>
    </row>
    <row r="130" spans="1:15" ht="24">
      <c r="A130" s="90">
        <v>127</v>
      </c>
      <c r="B130" s="90" t="s">
        <v>193</v>
      </c>
      <c r="C130" s="90"/>
      <c r="D130" s="90">
        <v>3</v>
      </c>
      <c r="E130" s="90">
        <v>61</v>
      </c>
      <c r="F130" s="90" t="s">
        <v>75</v>
      </c>
      <c r="G130" s="90"/>
      <c r="H130" s="90"/>
      <c r="I130" s="90">
        <v>13300</v>
      </c>
      <c r="J130" s="90">
        <v>3000</v>
      </c>
      <c r="K130" s="90">
        <v>0</v>
      </c>
      <c r="L130" s="90"/>
      <c r="M130" s="90"/>
      <c r="N130" s="90"/>
      <c r="O130" s="90"/>
    </row>
    <row r="131" spans="1:15" ht="24">
      <c r="A131" s="89">
        <v>128</v>
      </c>
      <c r="B131" s="89" t="s">
        <v>194</v>
      </c>
      <c r="C131" s="89"/>
      <c r="D131" s="89">
        <v>5</v>
      </c>
      <c r="E131" s="89">
        <v>62</v>
      </c>
      <c r="F131" s="89" t="s">
        <v>75</v>
      </c>
      <c r="G131" s="89"/>
      <c r="H131" s="89">
        <v>24000</v>
      </c>
      <c r="I131" s="89">
        <v>14200</v>
      </c>
      <c r="J131" s="89">
        <v>5000</v>
      </c>
      <c r="K131" s="89">
        <v>0</v>
      </c>
      <c r="L131" s="89"/>
      <c r="M131" s="89"/>
      <c r="N131" s="89"/>
      <c r="O131" s="89">
        <f>K131+L131-M131</f>
        <v>0</v>
      </c>
    </row>
    <row r="132" spans="1:15" ht="24">
      <c r="A132" s="89">
        <v>129</v>
      </c>
      <c r="B132" s="89" t="s">
        <v>171</v>
      </c>
      <c r="C132" s="89"/>
      <c r="D132" s="89">
        <v>1</v>
      </c>
      <c r="E132" s="89">
        <v>62</v>
      </c>
      <c r="F132" s="89" t="s">
        <v>75</v>
      </c>
      <c r="G132" s="89"/>
      <c r="H132" s="89"/>
      <c r="I132" s="89">
        <v>11500</v>
      </c>
      <c r="J132" s="89">
        <v>5000</v>
      </c>
      <c r="K132" s="89">
        <v>0</v>
      </c>
      <c r="L132" s="89"/>
      <c r="M132" s="89"/>
      <c r="N132" s="89"/>
      <c r="O132" s="89"/>
    </row>
    <row r="133" spans="1:15" ht="24">
      <c r="A133" s="90">
        <v>130</v>
      </c>
      <c r="B133" s="90" t="s">
        <v>195</v>
      </c>
      <c r="C133" s="90" t="s">
        <v>344</v>
      </c>
      <c r="D133" s="90">
        <v>5</v>
      </c>
      <c r="E133" s="90">
        <v>63</v>
      </c>
      <c r="F133" s="90" t="s">
        <v>75</v>
      </c>
      <c r="G133" s="90">
        <v>9983295824</v>
      </c>
      <c r="H133" s="90">
        <v>9000</v>
      </c>
      <c r="I133" s="90">
        <v>14200</v>
      </c>
      <c r="J133" s="90">
        <v>2500</v>
      </c>
      <c r="K133" s="90">
        <v>0</v>
      </c>
      <c r="L133" s="90"/>
      <c r="M133" s="90"/>
      <c r="N133" s="90"/>
      <c r="O133" s="90">
        <f>K133+L133-M133</f>
        <v>0</v>
      </c>
    </row>
    <row r="134" spans="1:15" ht="24">
      <c r="A134" s="89">
        <v>131</v>
      </c>
      <c r="B134" s="89" t="s">
        <v>196</v>
      </c>
      <c r="C134" s="89" t="s">
        <v>345</v>
      </c>
      <c r="D134" s="89">
        <v>5</v>
      </c>
      <c r="E134" s="89">
        <v>64</v>
      </c>
      <c r="F134" s="89" t="s">
        <v>75</v>
      </c>
      <c r="G134" s="89">
        <v>9785757003</v>
      </c>
      <c r="H134" s="89">
        <v>39000</v>
      </c>
      <c r="I134" s="89">
        <v>14200</v>
      </c>
      <c r="J134" s="89">
        <v>2400</v>
      </c>
      <c r="K134" s="89">
        <v>4000</v>
      </c>
      <c r="L134" s="89"/>
      <c r="M134" s="89">
        <v>4000</v>
      </c>
      <c r="N134" s="89"/>
      <c r="O134" s="89">
        <f>K134+L134-M134</f>
        <v>0</v>
      </c>
    </row>
    <row r="135" spans="1:15" ht="24">
      <c r="A135" s="89">
        <v>132</v>
      </c>
      <c r="B135" s="89" t="s">
        <v>197</v>
      </c>
      <c r="C135" s="89"/>
      <c r="D135" s="89">
        <v>2</v>
      </c>
      <c r="E135" s="89">
        <v>64</v>
      </c>
      <c r="F135" s="89" t="s">
        <v>75</v>
      </c>
      <c r="G135" s="89"/>
      <c r="H135" s="89"/>
      <c r="I135" s="89">
        <v>12000</v>
      </c>
      <c r="J135" s="89">
        <v>2400</v>
      </c>
      <c r="K135" s="89"/>
      <c r="L135" s="89"/>
      <c r="M135" s="89"/>
      <c r="N135" s="89"/>
      <c r="O135" s="89"/>
    </row>
    <row r="136" spans="1:15" ht="24">
      <c r="A136" s="89">
        <v>133</v>
      </c>
      <c r="B136" s="89" t="s">
        <v>198</v>
      </c>
      <c r="C136" s="89"/>
      <c r="D136" s="89">
        <v>2</v>
      </c>
      <c r="E136" s="89">
        <v>64</v>
      </c>
      <c r="F136" s="89" t="s">
        <v>75</v>
      </c>
      <c r="G136" s="89"/>
      <c r="H136" s="89"/>
      <c r="I136" s="89">
        <v>12000</v>
      </c>
      <c r="J136" s="89">
        <v>2400</v>
      </c>
      <c r="K136" s="89"/>
      <c r="L136" s="89"/>
      <c r="M136" s="89"/>
      <c r="N136" s="89"/>
      <c r="O136" s="89"/>
    </row>
    <row r="137" spans="1:15" ht="24">
      <c r="A137" s="89">
        <v>134</v>
      </c>
      <c r="B137" s="89" t="s">
        <v>199</v>
      </c>
      <c r="C137" s="89"/>
      <c r="D137" s="89" t="s">
        <v>102</v>
      </c>
      <c r="E137" s="89">
        <v>64</v>
      </c>
      <c r="F137" s="89" t="s">
        <v>75</v>
      </c>
      <c r="G137" s="89"/>
      <c r="H137" s="89"/>
      <c r="I137" s="89">
        <v>9800</v>
      </c>
      <c r="J137" s="89">
        <v>2400</v>
      </c>
      <c r="K137" s="89"/>
      <c r="L137" s="89"/>
      <c r="M137" s="89"/>
      <c r="N137" s="89"/>
      <c r="O137" s="89"/>
    </row>
    <row r="138" spans="1:15" ht="36">
      <c r="A138" s="90">
        <v>135</v>
      </c>
      <c r="B138" s="90" t="s">
        <v>200</v>
      </c>
      <c r="C138" s="90" t="s">
        <v>346</v>
      </c>
      <c r="D138" s="90">
        <v>5</v>
      </c>
      <c r="E138" s="90">
        <v>65</v>
      </c>
      <c r="F138" s="90" t="s">
        <v>75</v>
      </c>
      <c r="G138" s="90">
        <v>7073348495</v>
      </c>
      <c r="H138" s="90">
        <v>20000</v>
      </c>
      <c r="I138" s="90">
        <v>14200</v>
      </c>
      <c r="J138" s="90">
        <v>3200</v>
      </c>
      <c r="K138" s="90">
        <v>10000</v>
      </c>
      <c r="L138" s="90"/>
      <c r="M138" s="90"/>
      <c r="N138" s="90"/>
      <c r="O138" s="90">
        <f>K138+L138-M138</f>
        <v>10000</v>
      </c>
    </row>
    <row r="139" spans="1:15" ht="24">
      <c r="A139" s="90">
        <v>136</v>
      </c>
      <c r="B139" s="90" t="s">
        <v>201</v>
      </c>
      <c r="C139" s="90"/>
      <c r="D139" s="90">
        <v>3</v>
      </c>
      <c r="E139" s="90">
        <v>65</v>
      </c>
      <c r="F139" s="90" t="s">
        <v>75</v>
      </c>
      <c r="G139" s="90"/>
      <c r="H139" s="90"/>
      <c r="I139" s="90">
        <v>13300</v>
      </c>
      <c r="J139" s="90">
        <v>3200</v>
      </c>
      <c r="K139" s="90"/>
      <c r="L139" s="90"/>
      <c r="M139" s="90"/>
      <c r="N139" s="90"/>
      <c r="O139" s="90"/>
    </row>
    <row r="140" spans="1:15" ht="24">
      <c r="A140" s="90">
        <v>137</v>
      </c>
      <c r="B140" s="90" t="s">
        <v>202</v>
      </c>
      <c r="C140" s="90"/>
      <c r="D140" s="90" t="s">
        <v>102</v>
      </c>
      <c r="E140" s="90">
        <v>65</v>
      </c>
      <c r="F140" s="90" t="s">
        <v>75</v>
      </c>
      <c r="G140" s="90"/>
      <c r="H140" s="90"/>
      <c r="I140" s="90">
        <v>9800</v>
      </c>
      <c r="J140" s="90">
        <v>3200</v>
      </c>
      <c r="K140" s="90"/>
      <c r="L140" s="90"/>
      <c r="M140" s="90"/>
      <c r="N140" s="90"/>
      <c r="O140" s="90"/>
    </row>
    <row r="141" spans="1:15" ht="24">
      <c r="A141" s="89">
        <v>138</v>
      </c>
      <c r="B141" s="89" t="s">
        <v>203</v>
      </c>
      <c r="C141" s="89" t="s">
        <v>347</v>
      </c>
      <c r="D141" s="89">
        <v>5</v>
      </c>
      <c r="E141" s="89">
        <v>66</v>
      </c>
      <c r="F141" s="89" t="s">
        <v>75</v>
      </c>
      <c r="G141" s="89">
        <v>9983381751</v>
      </c>
      <c r="H141" s="89">
        <v>20000</v>
      </c>
      <c r="I141" s="89">
        <v>14200</v>
      </c>
      <c r="J141" s="89">
        <v>2600</v>
      </c>
      <c r="K141" s="89">
        <v>10000</v>
      </c>
      <c r="L141" s="89"/>
      <c r="M141" s="89"/>
      <c r="N141" s="89"/>
      <c r="O141" s="89">
        <f>K141+L141-M141</f>
        <v>10000</v>
      </c>
    </row>
    <row r="142" spans="1:15" ht="24">
      <c r="A142" s="89">
        <v>139</v>
      </c>
      <c r="B142" s="89" t="s">
        <v>204</v>
      </c>
      <c r="C142" s="89"/>
      <c r="D142" s="89">
        <v>4</v>
      </c>
      <c r="E142" s="89">
        <v>66</v>
      </c>
      <c r="F142" s="89" t="s">
        <v>75</v>
      </c>
      <c r="G142" s="89"/>
      <c r="H142" s="89"/>
      <c r="I142" s="89">
        <v>13900</v>
      </c>
      <c r="J142" s="89">
        <v>2600</v>
      </c>
      <c r="K142" s="89"/>
      <c r="L142" s="89"/>
      <c r="M142" s="89"/>
      <c r="N142" s="89"/>
      <c r="O142" s="89"/>
    </row>
    <row r="143" spans="1:15" ht="24">
      <c r="A143" s="89">
        <v>140</v>
      </c>
      <c r="B143" s="89" t="s">
        <v>206</v>
      </c>
      <c r="C143" s="89"/>
      <c r="D143" s="89">
        <v>1</v>
      </c>
      <c r="E143" s="89">
        <v>66</v>
      </c>
      <c r="F143" s="89" t="s">
        <v>75</v>
      </c>
      <c r="G143" s="89"/>
      <c r="H143" s="89"/>
      <c r="I143" s="89">
        <v>11500</v>
      </c>
      <c r="J143" s="89">
        <v>2600</v>
      </c>
      <c r="K143" s="89"/>
      <c r="L143" s="89"/>
      <c r="M143" s="89"/>
      <c r="N143" s="89"/>
      <c r="O143" s="89"/>
    </row>
    <row r="144" spans="1:15" ht="24">
      <c r="A144" s="89">
        <v>141</v>
      </c>
      <c r="B144" s="89" t="s">
        <v>205</v>
      </c>
      <c r="C144" s="89"/>
      <c r="D144" s="89">
        <v>3</v>
      </c>
      <c r="E144" s="89">
        <v>66</v>
      </c>
      <c r="F144" s="89" t="s">
        <v>75</v>
      </c>
      <c r="G144" s="89"/>
      <c r="H144" s="89"/>
      <c r="I144" s="89">
        <v>13300</v>
      </c>
      <c r="J144" s="89">
        <v>2600</v>
      </c>
      <c r="K144" s="89"/>
      <c r="L144" s="89"/>
      <c r="M144" s="89"/>
      <c r="N144" s="89"/>
      <c r="O144" s="89"/>
    </row>
    <row r="145" spans="1:15" ht="48">
      <c r="A145" s="90">
        <v>142</v>
      </c>
      <c r="B145" s="90" t="s">
        <v>207</v>
      </c>
      <c r="C145" s="90" t="s">
        <v>348</v>
      </c>
      <c r="D145" s="90">
        <v>5</v>
      </c>
      <c r="E145" s="90">
        <v>67</v>
      </c>
      <c r="F145" s="90" t="s">
        <v>75</v>
      </c>
      <c r="G145" s="90">
        <v>9928680497</v>
      </c>
      <c r="H145" s="90">
        <v>12400</v>
      </c>
      <c r="I145" s="90">
        <v>14200</v>
      </c>
      <c r="J145" s="90">
        <v>2500</v>
      </c>
      <c r="K145" s="90">
        <v>0</v>
      </c>
      <c r="L145" s="90"/>
      <c r="M145" s="90"/>
      <c r="N145" s="90"/>
      <c r="O145" s="90">
        <f>K145+L145-M145</f>
        <v>0</v>
      </c>
    </row>
    <row r="146" spans="1:15" ht="24">
      <c r="A146" s="90">
        <v>143</v>
      </c>
      <c r="B146" s="90" t="s">
        <v>208</v>
      </c>
      <c r="C146" s="90"/>
      <c r="D146" s="90" t="s">
        <v>102</v>
      </c>
      <c r="E146" s="90">
        <v>67</v>
      </c>
      <c r="F146" s="138" t="s">
        <v>76</v>
      </c>
      <c r="G146" s="90"/>
      <c r="H146" s="90"/>
      <c r="I146" s="90">
        <v>11500</v>
      </c>
      <c r="J146" s="90">
        <v>2500</v>
      </c>
      <c r="K146" s="90"/>
      <c r="L146" s="90"/>
      <c r="M146" s="90"/>
      <c r="N146" s="90"/>
      <c r="O146" s="90"/>
    </row>
    <row r="147" spans="1:15" ht="24">
      <c r="A147" s="92">
        <v>144</v>
      </c>
      <c r="B147" s="92" t="s">
        <v>209</v>
      </c>
      <c r="C147" s="92" t="s">
        <v>349</v>
      </c>
      <c r="D147" s="89">
        <v>5</v>
      </c>
      <c r="E147" s="89">
        <v>68</v>
      </c>
      <c r="F147" s="89" t="s">
        <v>75</v>
      </c>
      <c r="G147" s="89">
        <v>9571905723</v>
      </c>
      <c r="H147" s="89">
        <v>10000</v>
      </c>
      <c r="I147" s="89">
        <v>14200</v>
      </c>
      <c r="J147" s="89">
        <v>3400</v>
      </c>
      <c r="K147" s="89">
        <v>3000</v>
      </c>
      <c r="L147" s="89"/>
      <c r="M147" s="89"/>
      <c r="N147" s="89"/>
      <c r="O147" s="89">
        <f>K147+L147-M147</f>
        <v>3000</v>
      </c>
    </row>
    <row r="148" spans="1:15" ht="24">
      <c r="A148" s="90">
        <v>145</v>
      </c>
      <c r="B148" s="90" t="s">
        <v>210</v>
      </c>
      <c r="C148" s="95" t="s">
        <v>350</v>
      </c>
      <c r="D148" s="90">
        <v>5</v>
      </c>
      <c r="E148" s="90">
        <v>69</v>
      </c>
      <c r="F148" s="90" t="s">
        <v>75</v>
      </c>
      <c r="G148" s="90">
        <v>9982936131</v>
      </c>
      <c r="H148" s="90">
        <v>10000</v>
      </c>
      <c r="I148" s="90">
        <v>14200</v>
      </c>
      <c r="J148" s="90">
        <v>4700</v>
      </c>
      <c r="K148" s="90">
        <v>10000</v>
      </c>
      <c r="L148" s="90"/>
      <c r="M148" s="90"/>
      <c r="N148" s="90"/>
      <c r="O148" s="90">
        <f>K148+L148-M148</f>
        <v>10000</v>
      </c>
    </row>
    <row r="149" spans="1:15" ht="24">
      <c r="A149" s="89">
        <v>146</v>
      </c>
      <c r="B149" s="89" t="s">
        <v>211</v>
      </c>
      <c r="C149" s="89" t="s">
        <v>351</v>
      </c>
      <c r="D149" s="89">
        <v>5</v>
      </c>
      <c r="E149" s="89">
        <v>70</v>
      </c>
      <c r="F149" s="89" t="s">
        <v>75</v>
      </c>
      <c r="G149" s="89">
        <v>9829036692</v>
      </c>
      <c r="H149" s="89">
        <v>15000</v>
      </c>
      <c r="I149" s="89">
        <v>14200</v>
      </c>
      <c r="J149" s="89">
        <v>5000</v>
      </c>
      <c r="K149" s="89">
        <v>3500</v>
      </c>
      <c r="L149" s="89"/>
      <c r="M149" s="89"/>
      <c r="N149" s="89"/>
      <c r="O149" s="89">
        <f>K149+L149-M149</f>
        <v>3500</v>
      </c>
    </row>
    <row r="150" spans="1:15" ht="24">
      <c r="A150" s="90">
        <v>147</v>
      </c>
      <c r="B150" s="90" t="s">
        <v>212</v>
      </c>
      <c r="C150" s="91" t="s">
        <v>352</v>
      </c>
      <c r="D150" s="90">
        <v>4</v>
      </c>
      <c r="E150" s="90">
        <v>71</v>
      </c>
      <c r="F150" s="90" t="s">
        <v>75</v>
      </c>
      <c r="G150" s="90">
        <v>9983855280</v>
      </c>
      <c r="H150" s="90">
        <v>15000</v>
      </c>
      <c r="I150" s="90">
        <v>13900</v>
      </c>
      <c r="J150" s="90">
        <v>4700</v>
      </c>
      <c r="K150" s="90">
        <v>5000</v>
      </c>
      <c r="L150" s="90"/>
      <c r="M150" s="90">
        <v>2000</v>
      </c>
      <c r="N150" s="90"/>
      <c r="O150" s="90">
        <f>K150+L150-M150</f>
        <v>3000</v>
      </c>
    </row>
    <row r="151" spans="1:15" ht="24">
      <c r="A151" s="90">
        <v>148</v>
      </c>
      <c r="B151" s="90" t="s">
        <v>213</v>
      </c>
      <c r="C151" s="90"/>
      <c r="D151" s="90">
        <v>3</v>
      </c>
      <c r="E151" s="90">
        <v>71</v>
      </c>
      <c r="F151" s="90" t="s">
        <v>75</v>
      </c>
      <c r="G151" s="90"/>
      <c r="H151" s="90"/>
      <c r="I151" s="90">
        <v>13300</v>
      </c>
      <c r="J151" s="90">
        <v>4700</v>
      </c>
      <c r="K151" s="90"/>
      <c r="L151" s="90"/>
      <c r="M151" s="90"/>
      <c r="N151" s="90"/>
      <c r="O151" s="90"/>
    </row>
    <row r="152" spans="1:15" ht="24">
      <c r="A152" s="89">
        <v>149</v>
      </c>
      <c r="B152" s="89" t="s">
        <v>214</v>
      </c>
      <c r="C152" s="89" t="s">
        <v>353</v>
      </c>
      <c r="D152" s="89">
        <v>4</v>
      </c>
      <c r="E152" s="89">
        <v>72</v>
      </c>
      <c r="F152" s="89" t="s">
        <v>76</v>
      </c>
      <c r="G152" s="89">
        <v>9983656011</v>
      </c>
      <c r="H152" s="89">
        <v>9500</v>
      </c>
      <c r="I152" s="89">
        <v>0</v>
      </c>
      <c r="J152" s="89">
        <v>2500</v>
      </c>
      <c r="K152" s="89">
        <v>0</v>
      </c>
      <c r="L152" s="89"/>
      <c r="M152" s="89"/>
      <c r="N152" s="89"/>
      <c r="O152" s="89">
        <f>K152+L152-M152</f>
        <v>0</v>
      </c>
    </row>
    <row r="153" spans="1:15" ht="24">
      <c r="A153" s="89">
        <v>150</v>
      </c>
      <c r="B153" s="89" t="s">
        <v>215</v>
      </c>
      <c r="C153" s="89"/>
      <c r="D153" s="89">
        <v>3</v>
      </c>
      <c r="E153" s="89">
        <v>72</v>
      </c>
      <c r="F153" s="89" t="s">
        <v>75</v>
      </c>
      <c r="G153" s="89"/>
      <c r="H153" s="89"/>
      <c r="I153" s="89">
        <v>13300</v>
      </c>
      <c r="J153" s="89">
        <v>2500</v>
      </c>
      <c r="K153" s="89">
        <v>0</v>
      </c>
      <c r="L153" s="89"/>
      <c r="M153" s="89"/>
      <c r="N153" s="89"/>
      <c r="O153" s="89"/>
    </row>
    <row r="154" spans="1:15" ht="24">
      <c r="A154" s="90">
        <v>151</v>
      </c>
      <c r="B154" s="90" t="s">
        <v>216</v>
      </c>
      <c r="C154" s="90" t="s">
        <v>354</v>
      </c>
      <c r="D154" s="90">
        <v>4</v>
      </c>
      <c r="E154" s="90">
        <v>73</v>
      </c>
      <c r="F154" s="90" t="s">
        <v>76</v>
      </c>
      <c r="G154" s="90">
        <v>6378009311</v>
      </c>
      <c r="H154" s="90">
        <v>4000</v>
      </c>
      <c r="I154" s="90">
        <v>0</v>
      </c>
      <c r="J154" s="90">
        <v>2000</v>
      </c>
      <c r="K154" s="90"/>
      <c r="L154" s="90"/>
      <c r="M154" s="90"/>
      <c r="N154" s="90"/>
      <c r="O154" s="90">
        <f>K154+L154-M154</f>
        <v>0</v>
      </c>
    </row>
    <row r="155" spans="1:15" ht="24">
      <c r="A155" s="90">
        <v>152</v>
      </c>
      <c r="B155" s="90" t="s">
        <v>217</v>
      </c>
      <c r="C155" s="90"/>
      <c r="D155" s="90" t="s">
        <v>102</v>
      </c>
      <c r="E155" s="90">
        <v>73</v>
      </c>
      <c r="F155" s="90" t="s">
        <v>76</v>
      </c>
      <c r="G155" s="90"/>
      <c r="H155" s="90"/>
      <c r="I155" s="90">
        <v>0</v>
      </c>
      <c r="J155" s="90">
        <v>2000</v>
      </c>
      <c r="K155" s="90"/>
      <c r="L155" s="90"/>
      <c r="M155" s="90"/>
      <c r="N155" s="90"/>
      <c r="O155" s="90"/>
    </row>
    <row r="156" spans="1:15" ht="24">
      <c r="A156" s="89">
        <v>153</v>
      </c>
      <c r="B156" s="89" t="s">
        <v>218</v>
      </c>
      <c r="C156" s="89" t="s">
        <v>355</v>
      </c>
      <c r="D156" s="89">
        <v>4</v>
      </c>
      <c r="E156" s="89">
        <v>74</v>
      </c>
      <c r="F156" s="89" t="s">
        <v>75</v>
      </c>
      <c r="G156" s="89">
        <v>8432631973</v>
      </c>
      <c r="H156" s="89">
        <v>13000</v>
      </c>
      <c r="I156" s="89">
        <v>13900</v>
      </c>
      <c r="J156" s="89">
        <v>2000</v>
      </c>
      <c r="K156" s="89">
        <v>4000</v>
      </c>
      <c r="L156" s="89"/>
      <c r="M156" s="89"/>
      <c r="N156" s="89"/>
      <c r="O156" s="89">
        <f>K156+L156-M156</f>
        <v>4000</v>
      </c>
    </row>
    <row r="157" spans="1:15" ht="24">
      <c r="A157" s="89">
        <v>154</v>
      </c>
      <c r="B157" s="89" t="s">
        <v>219</v>
      </c>
      <c r="C157" s="89"/>
      <c r="D157" s="89" t="s">
        <v>102</v>
      </c>
      <c r="E157" s="89">
        <v>74</v>
      </c>
      <c r="F157" s="89" t="s">
        <v>76</v>
      </c>
      <c r="G157" s="89"/>
      <c r="H157" s="89"/>
      <c r="I157" s="89">
        <v>0</v>
      </c>
      <c r="J157" s="89">
        <v>2000</v>
      </c>
      <c r="K157" s="89"/>
      <c r="L157" s="89"/>
      <c r="M157" s="89"/>
      <c r="N157" s="89"/>
      <c r="O157" s="89"/>
    </row>
    <row r="158" spans="1:15" ht="24">
      <c r="A158" s="89">
        <v>155</v>
      </c>
      <c r="B158" s="89" t="s">
        <v>220</v>
      </c>
      <c r="C158" s="89"/>
      <c r="D158" s="89" t="s">
        <v>102</v>
      </c>
      <c r="E158" s="89">
        <v>74</v>
      </c>
      <c r="F158" s="89" t="s">
        <v>76</v>
      </c>
      <c r="G158" s="89"/>
      <c r="H158" s="89"/>
      <c r="I158" s="89">
        <v>0</v>
      </c>
      <c r="J158" s="89">
        <v>2000</v>
      </c>
      <c r="K158" s="89"/>
      <c r="L158" s="89"/>
      <c r="M158" s="89"/>
      <c r="N158" s="89"/>
      <c r="O158" s="89"/>
    </row>
    <row r="159" spans="1:15" ht="24">
      <c r="A159" s="90">
        <v>156</v>
      </c>
      <c r="B159" s="90" t="s">
        <v>221</v>
      </c>
      <c r="C159" s="90" t="s">
        <v>356</v>
      </c>
      <c r="D159" s="90">
        <v>4</v>
      </c>
      <c r="E159" s="90">
        <v>75</v>
      </c>
      <c r="F159" s="90" t="s">
        <v>75</v>
      </c>
      <c r="G159" s="90">
        <v>8058137011</v>
      </c>
      <c r="H159" s="90">
        <v>13000</v>
      </c>
      <c r="I159" s="90">
        <v>13900</v>
      </c>
      <c r="J159" s="90">
        <v>5200</v>
      </c>
      <c r="K159" s="90">
        <v>5000</v>
      </c>
      <c r="L159" s="90"/>
      <c r="M159" s="90"/>
      <c r="N159" s="90"/>
      <c r="O159" s="90">
        <f>K159+L159-M159</f>
        <v>5000</v>
      </c>
    </row>
    <row r="160" spans="1:15" ht="24">
      <c r="A160" s="89">
        <v>157</v>
      </c>
      <c r="B160" s="89" t="s">
        <v>222</v>
      </c>
      <c r="C160" s="89" t="s">
        <v>357</v>
      </c>
      <c r="D160" s="89">
        <v>4</v>
      </c>
      <c r="E160" s="89">
        <v>76</v>
      </c>
      <c r="F160" s="89" t="s">
        <v>75</v>
      </c>
      <c r="G160" s="89">
        <v>9530183827</v>
      </c>
      <c r="H160" s="89">
        <v>7000</v>
      </c>
      <c r="I160" s="89">
        <v>13900</v>
      </c>
      <c r="J160" s="89">
        <v>2800</v>
      </c>
      <c r="K160" s="89">
        <v>0</v>
      </c>
      <c r="L160" s="89"/>
      <c r="M160" s="89"/>
      <c r="N160" s="89"/>
      <c r="O160" s="89">
        <f>K160+L160-M160</f>
        <v>0</v>
      </c>
    </row>
    <row r="161" spans="1:15">
      <c r="A161" s="89">
        <v>158</v>
      </c>
      <c r="B161" s="89" t="s">
        <v>393</v>
      </c>
      <c r="C161" s="89"/>
      <c r="D161" s="89" t="s">
        <v>130</v>
      </c>
      <c r="E161" s="89">
        <v>76</v>
      </c>
      <c r="F161" s="89" t="s">
        <v>75</v>
      </c>
      <c r="G161" s="89"/>
      <c r="H161" s="89"/>
      <c r="I161" s="89">
        <v>0</v>
      </c>
      <c r="J161" s="89"/>
      <c r="K161" s="89"/>
      <c r="L161" s="89"/>
      <c r="M161" s="89"/>
      <c r="N161" s="89"/>
      <c r="O161" s="89"/>
    </row>
    <row r="162" spans="1:15" ht="24">
      <c r="A162" s="90">
        <v>159</v>
      </c>
      <c r="B162" s="90" t="s">
        <v>223</v>
      </c>
      <c r="C162" s="90" t="s">
        <v>358</v>
      </c>
      <c r="D162" s="90">
        <v>4</v>
      </c>
      <c r="E162" s="90">
        <v>77</v>
      </c>
      <c r="F162" s="90" t="s">
        <v>75</v>
      </c>
      <c r="G162" s="90">
        <v>9694730141</v>
      </c>
      <c r="H162" s="90">
        <v>14000</v>
      </c>
      <c r="I162" s="90">
        <v>13900</v>
      </c>
      <c r="J162" s="90">
        <v>2800</v>
      </c>
      <c r="K162" s="90">
        <v>2000</v>
      </c>
      <c r="L162" s="90"/>
      <c r="M162" s="90"/>
      <c r="N162" s="90"/>
      <c r="O162" s="90">
        <f>K162+L162-M162</f>
        <v>2000</v>
      </c>
    </row>
    <row r="163" spans="1:15" ht="36">
      <c r="A163" s="91">
        <v>160</v>
      </c>
      <c r="B163" s="91" t="s">
        <v>225</v>
      </c>
      <c r="C163" s="91" t="s">
        <v>58</v>
      </c>
      <c r="D163" s="89">
        <v>4</v>
      </c>
      <c r="E163" s="89">
        <v>78</v>
      </c>
      <c r="F163" s="89" t="s">
        <v>75</v>
      </c>
      <c r="G163" s="89"/>
      <c r="H163" s="89">
        <v>10600</v>
      </c>
      <c r="I163" s="89">
        <v>13900</v>
      </c>
      <c r="J163" s="89">
        <v>2500</v>
      </c>
      <c r="K163" s="89">
        <v>0</v>
      </c>
      <c r="L163" s="89"/>
      <c r="M163" s="89"/>
      <c r="N163" s="89"/>
      <c r="O163" s="89">
        <f>K163+L163-M163</f>
        <v>0</v>
      </c>
    </row>
    <row r="164" spans="1:15" ht="24">
      <c r="A164" s="91">
        <v>161</v>
      </c>
      <c r="B164" s="91" t="s">
        <v>224</v>
      </c>
      <c r="C164" s="91"/>
      <c r="D164" s="89" t="s">
        <v>130</v>
      </c>
      <c r="E164" s="89">
        <v>78</v>
      </c>
      <c r="F164" s="89" t="s">
        <v>75</v>
      </c>
      <c r="G164" s="89"/>
      <c r="H164" s="89"/>
      <c r="I164" s="89">
        <v>9300</v>
      </c>
      <c r="J164" s="89">
        <v>2500</v>
      </c>
      <c r="K164" s="89">
        <v>0</v>
      </c>
      <c r="L164" s="89"/>
      <c r="M164" s="89"/>
      <c r="N164" s="89"/>
      <c r="O164" s="89"/>
    </row>
    <row r="165" spans="1:15" ht="24">
      <c r="A165" s="90">
        <v>162</v>
      </c>
      <c r="B165" s="90" t="s">
        <v>226</v>
      </c>
      <c r="C165" s="90" t="s">
        <v>359</v>
      </c>
      <c r="D165" s="90">
        <v>3</v>
      </c>
      <c r="E165" s="90">
        <v>79</v>
      </c>
      <c r="F165" s="90" t="s">
        <v>75</v>
      </c>
      <c r="G165" s="90">
        <v>8290308479</v>
      </c>
      <c r="H165" s="90">
        <v>13000</v>
      </c>
      <c r="I165" s="90">
        <v>13300</v>
      </c>
      <c r="J165" s="90">
        <v>2000</v>
      </c>
      <c r="K165" s="90">
        <v>0</v>
      </c>
      <c r="L165" s="90"/>
      <c r="M165" s="90"/>
      <c r="N165" s="90"/>
      <c r="O165" s="90">
        <f>K165+L165-M165</f>
        <v>0</v>
      </c>
    </row>
    <row r="166" spans="1:15" ht="24">
      <c r="A166" s="90">
        <v>163</v>
      </c>
      <c r="B166" s="90" t="s">
        <v>227</v>
      </c>
      <c r="C166" s="90"/>
      <c r="D166" s="90" t="s">
        <v>102</v>
      </c>
      <c r="E166" s="90">
        <v>79</v>
      </c>
      <c r="F166" s="90" t="s">
        <v>76</v>
      </c>
      <c r="G166" s="90"/>
      <c r="H166" s="90"/>
      <c r="I166" s="90">
        <v>0</v>
      </c>
      <c r="J166" s="90">
        <v>2000</v>
      </c>
      <c r="K166" s="90"/>
      <c r="L166" s="90"/>
      <c r="M166" s="90"/>
      <c r="N166" s="90"/>
      <c r="O166" s="90"/>
    </row>
    <row r="167" spans="1:15" ht="48">
      <c r="A167" s="89">
        <v>164</v>
      </c>
      <c r="B167" s="89" t="s">
        <v>228</v>
      </c>
      <c r="C167" s="89" t="s">
        <v>360</v>
      </c>
      <c r="D167" s="89">
        <v>3</v>
      </c>
      <c r="E167" s="89">
        <v>80</v>
      </c>
      <c r="F167" s="89" t="s">
        <v>75</v>
      </c>
      <c r="G167" s="89">
        <v>9001530545</v>
      </c>
      <c r="H167" s="89">
        <v>18000</v>
      </c>
      <c r="I167" s="89">
        <v>13300</v>
      </c>
      <c r="J167" s="89">
        <v>5000</v>
      </c>
      <c r="K167" s="89">
        <v>5000</v>
      </c>
      <c r="L167" s="89"/>
      <c r="M167" s="89"/>
      <c r="N167" s="89"/>
      <c r="O167" s="89">
        <f>K167+L167-M167</f>
        <v>5000</v>
      </c>
    </row>
    <row r="168" spans="1:15" ht="24">
      <c r="A168" s="89">
        <v>165</v>
      </c>
      <c r="B168" s="89" t="s">
        <v>229</v>
      </c>
      <c r="C168" s="89"/>
      <c r="D168" s="89" t="s">
        <v>130</v>
      </c>
      <c r="E168" s="89">
        <v>80</v>
      </c>
      <c r="F168" s="89" t="s">
        <v>75</v>
      </c>
      <c r="G168" s="89"/>
      <c r="H168" s="89"/>
      <c r="I168" s="89">
        <v>9300</v>
      </c>
      <c r="J168" s="89">
        <v>5000</v>
      </c>
      <c r="K168" s="89"/>
      <c r="L168" s="89"/>
      <c r="M168" s="89"/>
      <c r="N168" s="89"/>
      <c r="O168" s="89"/>
    </row>
    <row r="169" spans="1:15" ht="24">
      <c r="A169" s="91">
        <v>166</v>
      </c>
      <c r="B169" s="91" t="s">
        <v>230</v>
      </c>
      <c r="C169" s="91" t="s">
        <v>361</v>
      </c>
      <c r="D169" s="90">
        <v>3</v>
      </c>
      <c r="E169" s="90">
        <v>81</v>
      </c>
      <c r="F169" s="90" t="s">
        <v>75</v>
      </c>
      <c r="G169" s="90"/>
      <c r="H169" s="90">
        <v>15000</v>
      </c>
      <c r="I169" s="90">
        <v>13300</v>
      </c>
      <c r="J169" s="90">
        <v>5000</v>
      </c>
      <c r="K169" s="90">
        <v>0</v>
      </c>
      <c r="L169" s="90"/>
      <c r="M169" s="90"/>
      <c r="N169" s="90"/>
      <c r="O169" s="90">
        <f>K169+L169-M169</f>
        <v>0</v>
      </c>
    </row>
    <row r="170" spans="1:15" ht="24">
      <c r="A170" s="91">
        <v>167</v>
      </c>
      <c r="B170" s="91" t="s">
        <v>231</v>
      </c>
      <c r="C170" s="91"/>
      <c r="D170" s="90">
        <v>1</v>
      </c>
      <c r="E170" s="90">
        <v>81</v>
      </c>
      <c r="F170" s="90" t="s">
        <v>75</v>
      </c>
      <c r="G170" s="90"/>
      <c r="H170" s="90"/>
      <c r="I170" s="90">
        <v>11500</v>
      </c>
      <c r="J170" s="90">
        <v>5000</v>
      </c>
      <c r="K170" s="90"/>
      <c r="L170" s="90"/>
      <c r="M170" s="90"/>
      <c r="N170" s="90"/>
      <c r="O170" s="90"/>
    </row>
    <row r="171" spans="1:15" ht="60">
      <c r="A171" s="89">
        <v>168</v>
      </c>
      <c r="B171" s="89" t="s">
        <v>232</v>
      </c>
      <c r="C171" s="89" t="s">
        <v>362</v>
      </c>
      <c r="D171" s="89">
        <v>3</v>
      </c>
      <c r="E171" s="89">
        <v>82</v>
      </c>
      <c r="F171" s="89" t="s">
        <v>75</v>
      </c>
      <c r="G171" s="89">
        <v>9783141398</v>
      </c>
      <c r="H171" s="89">
        <v>14000</v>
      </c>
      <c r="I171" s="89">
        <v>13300</v>
      </c>
      <c r="J171" s="89">
        <v>2000</v>
      </c>
      <c r="K171" s="89">
        <v>2000</v>
      </c>
      <c r="L171" s="89"/>
      <c r="M171" s="89"/>
      <c r="N171" s="89"/>
      <c r="O171" s="89">
        <f>K171+L171-M171</f>
        <v>2000</v>
      </c>
    </row>
    <row r="172" spans="1:15" ht="24">
      <c r="A172" s="89">
        <v>169</v>
      </c>
      <c r="B172" s="89" t="s">
        <v>233</v>
      </c>
      <c r="C172" s="89"/>
      <c r="D172" s="89" t="s">
        <v>102</v>
      </c>
      <c r="E172" s="89">
        <v>82</v>
      </c>
      <c r="F172" s="89" t="s">
        <v>76</v>
      </c>
      <c r="G172" s="89"/>
      <c r="H172" s="89"/>
      <c r="I172" s="89">
        <v>0</v>
      </c>
      <c r="J172" s="89">
        <v>2000</v>
      </c>
      <c r="K172" s="89"/>
      <c r="L172" s="89"/>
      <c r="M172" s="89"/>
      <c r="N172" s="89"/>
      <c r="O172" s="89"/>
    </row>
    <row r="173" spans="1:15" ht="24">
      <c r="A173" s="90">
        <v>170</v>
      </c>
      <c r="B173" s="90" t="s">
        <v>234</v>
      </c>
      <c r="C173" s="90" t="s">
        <v>363</v>
      </c>
      <c r="D173" s="90">
        <v>3</v>
      </c>
      <c r="E173" s="90">
        <v>83</v>
      </c>
      <c r="F173" s="90" t="s">
        <v>75</v>
      </c>
      <c r="G173" s="90">
        <v>9521417004</v>
      </c>
      <c r="H173" s="90">
        <v>8500</v>
      </c>
      <c r="I173" s="90">
        <v>13300</v>
      </c>
      <c r="J173" s="90">
        <v>2500</v>
      </c>
      <c r="K173" s="90">
        <v>500</v>
      </c>
      <c r="L173" s="90"/>
      <c r="M173" s="90"/>
      <c r="N173" s="90"/>
      <c r="O173" s="90">
        <f>K173+L173-M173</f>
        <v>500</v>
      </c>
    </row>
    <row r="174" spans="1:15" ht="36">
      <c r="A174" s="89">
        <v>171</v>
      </c>
      <c r="B174" s="89" t="s">
        <v>235</v>
      </c>
      <c r="C174" s="89" t="s">
        <v>364</v>
      </c>
      <c r="D174" s="89">
        <v>3</v>
      </c>
      <c r="E174" s="89">
        <v>84</v>
      </c>
      <c r="F174" s="89" t="s">
        <v>75</v>
      </c>
      <c r="G174" s="89">
        <v>9829487824</v>
      </c>
      <c r="H174" s="89">
        <v>30000</v>
      </c>
      <c r="I174" s="89">
        <v>13300</v>
      </c>
      <c r="J174" s="89">
        <v>3800</v>
      </c>
      <c r="K174" s="89">
        <v>0</v>
      </c>
      <c r="L174" s="89"/>
      <c r="M174" s="89"/>
      <c r="N174" s="89"/>
      <c r="O174" s="89">
        <f>K174+L174-M174</f>
        <v>0</v>
      </c>
    </row>
    <row r="175" spans="1:15" ht="24">
      <c r="A175" s="89">
        <v>172</v>
      </c>
      <c r="B175" s="89" t="s">
        <v>236</v>
      </c>
      <c r="C175" s="89" t="s">
        <v>530</v>
      </c>
      <c r="D175" s="89">
        <v>2</v>
      </c>
      <c r="E175" s="89">
        <v>84</v>
      </c>
      <c r="F175" s="89" t="s">
        <v>75</v>
      </c>
      <c r="G175" s="89"/>
      <c r="H175" s="89"/>
      <c r="I175" s="89">
        <v>12000</v>
      </c>
      <c r="J175" s="89">
        <v>3800</v>
      </c>
      <c r="K175" s="89"/>
      <c r="L175" s="89"/>
      <c r="M175" s="89"/>
      <c r="N175" s="89"/>
      <c r="O175" s="89"/>
    </row>
    <row r="176" spans="1:15" ht="24">
      <c r="A176" s="89">
        <v>173</v>
      </c>
      <c r="B176" s="89" t="s">
        <v>237</v>
      </c>
      <c r="C176" s="89"/>
      <c r="D176" s="89">
        <v>2</v>
      </c>
      <c r="E176" s="89">
        <v>84</v>
      </c>
      <c r="F176" s="89" t="s">
        <v>75</v>
      </c>
      <c r="G176" s="89"/>
      <c r="H176" s="89"/>
      <c r="I176" s="89">
        <v>12000</v>
      </c>
      <c r="J176" s="89">
        <v>3800</v>
      </c>
      <c r="K176" s="89"/>
      <c r="L176" s="89"/>
      <c r="M176" s="89"/>
      <c r="N176" s="89"/>
      <c r="O176" s="89"/>
    </row>
    <row r="177" spans="1:17" ht="24">
      <c r="A177" s="89">
        <v>174</v>
      </c>
      <c r="B177" s="89" t="s">
        <v>238</v>
      </c>
      <c r="C177" s="89"/>
      <c r="D177" s="89" t="s">
        <v>102</v>
      </c>
      <c r="E177" s="89">
        <v>84</v>
      </c>
      <c r="F177" s="89" t="s">
        <v>75</v>
      </c>
      <c r="G177" s="89"/>
      <c r="H177" s="89"/>
      <c r="I177" s="89">
        <v>9800</v>
      </c>
      <c r="J177" s="89">
        <v>3800</v>
      </c>
      <c r="K177" s="89"/>
      <c r="L177" s="89"/>
      <c r="M177" s="89"/>
      <c r="N177" s="89"/>
      <c r="O177" s="89"/>
    </row>
    <row r="178" spans="1:17" ht="24">
      <c r="A178" s="90">
        <v>175</v>
      </c>
      <c r="B178" s="90" t="s">
        <v>239</v>
      </c>
      <c r="C178" s="90" t="s">
        <v>365</v>
      </c>
      <c r="D178" s="90">
        <v>3</v>
      </c>
      <c r="E178" s="90">
        <v>85</v>
      </c>
      <c r="F178" s="90" t="s">
        <v>75</v>
      </c>
      <c r="G178" s="90">
        <v>9929718217</v>
      </c>
      <c r="H178" s="90">
        <v>10000</v>
      </c>
      <c r="I178" s="90">
        <v>13300</v>
      </c>
      <c r="J178" s="90">
        <v>5200</v>
      </c>
      <c r="K178" s="90">
        <v>2000</v>
      </c>
      <c r="L178" s="90"/>
      <c r="M178" s="90"/>
      <c r="N178" s="90"/>
      <c r="O178" s="90">
        <f>K178+L178-M178</f>
        <v>2000</v>
      </c>
    </row>
    <row r="179" spans="1:17" ht="36">
      <c r="A179" s="89">
        <v>176</v>
      </c>
      <c r="B179" s="89" t="s">
        <v>366</v>
      </c>
      <c r="C179" s="89" t="s">
        <v>367</v>
      </c>
      <c r="D179" s="89">
        <v>3</v>
      </c>
      <c r="E179" s="89">
        <v>86</v>
      </c>
      <c r="F179" s="89" t="s">
        <v>75</v>
      </c>
      <c r="G179" s="89">
        <v>9829626268</v>
      </c>
      <c r="H179" s="89">
        <v>15000</v>
      </c>
      <c r="I179" s="89">
        <v>13300</v>
      </c>
      <c r="J179" s="89">
        <v>3600</v>
      </c>
      <c r="K179" s="89">
        <v>8000</v>
      </c>
      <c r="L179" s="89"/>
      <c r="M179" s="89"/>
      <c r="N179" s="89"/>
      <c r="O179" s="89">
        <f>K179+L179-M179</f>
        <v>8000</v>
      </c>
    </row>
    <row r="180" spans="1:17" ht="24">
      <c r="A180" s="89">
        <v>177</v>
      </c>
      <c r="B180" s="89" t="s">
        <v>240</v>
      </c>
      <c r="C180" s="89"/>
      <c r="D180" s="89" t="s">
        <v>102</v>
      </c>
      <c r="E180" s="89">
        <v>86</v>
      </c>
      <c r="F180" s="89" t="s">
        <v>75</v>
      </c>
      <c r="G180" s="89"/>
      <c r="H180" s="89"/>
      <c r="I180" s="89">
        <v>9800</v>
      </c>
      <c r="J180" s="89"/>
      <c r="K180" s="89"/>
      <c r="L180" s="89"/>
      <c r="M180" s="89"/>
      <c r="N180" s="89"/>
      <c r="O180" s="89"/>
    </row>
    <row r="181" spans="1:17" ht="24">
      <c r="A181" s="90">
        <v>178</v>
      </c>
      <c r="B181" s="90" t="s">
        <v>241</v>
      </c>
      <c r="C181" s="90" t="s">
        <v>368</v>
      </c>
      <c r="D181" s="90">
        <v>3</v>
      </c>
      <c r="E181" s="90">
        <v>87</v>
      </c>
      <c r="F181" s="90" t="s">
        <v>75</v>
      </c>
      <c r="G181" s="90">
        <v>7976353412</v>
      </c>
      <c r="H181" s="90">
        <v>11000</v>
      </c>
      <c r="I181" s="90">
        <v>13300</v>
      </c>
      <c r="J181" s="90">
        <v>5000</v>
      </c>
      <c r="K181" s="90">
        <v>5000</v>
      </c>
      <c r="L181" s="90"/>
      <c r="M181" s="90"/>
      <c r="N181" s="90"/>
      <c r="O181" s="90">
        <f t="shared" ref="O181:O183" si="2">K181+L181-M181</f>
        <v>5000</v>
      </c>
      <c r="P181" s="137"/>
      <c r="Q181" s="137"/>
    </row>
    <row r="182" spans="1:17" ht="24">
      <c r="A182" s="90">
        <v>223</v>
      </c>
      <c r="B182" s="90" t="s">
        <v>173</v>
      </c>
      <c r="C182" s="90"/>
      <c r="D182" s="90" t="s">
        <v>130</v>
      </c>
      <c r="E182" s="90"/>
      <c r="F182" s="90" t="s">
        <v>75</v>
      </c>
      <c r="G182" s="90"/>
      <c r="H182" s="90"/>
      <c r="I182" s="90">
        <v>9300</v>
      </c>
      <c r="J182" s="90">
        <v>5000</v>
      </c>
      <c r="K182" s="90"/>
      <c r="L182" s="90"/>
      <c r="M182" s="90"/>
      <c r="N182" s="90"/>
      <c r="O182" s="90">
        <f>K182+L182-M182</f>
        <v>0</v>
      </c>
      <c r="P182" s="137"/>
      <c r="Q182" s="137"/>
    </row>
    <row r="183" spans="1:17" ht="60">
      <c r="A183" s="89">
        <v>179</v>
      </c>
      <c r="B183" s="89" t="s">
        <v>242</v>
      </c>
      <c r="C183" s="89" t="s">
        <v>369</v>
      </c>
      <c r="D183" s="89">
        <v>3</v>
      </c>
      <c r="E183" s="89">
        <v>88</v>
      </c>
      <c r="F183" s="89" t="s">
        <v>75</v>
      </c>
      <c r="G183" s="89">
        <v>7568652007</v>
      </c>
      <c r="H183" s="89">
        <v>15000</v>
      </c>
      <c r="I183" s="89">
        <v>13300</v>
      </c>
      <c r="J183" s="89">
        <v>3000</v>
      </c>
      <c r="K183" s="89">
        <v>7000</v>
      </c>
      <c r="L183" s="89"/>
      <c r="M183" s="89"/>
      <c r="N183" s="89"/>
      <c r="O183" s="89">
        <f t="shared" si="2"/>
        <v>7000</v>
      </c>
    </row>
    <row r="184" spans="1:17" ht="24">
      <c r="A184" s="89">
        <v>180</v>
      </c>
      <c r="B184" s="89" t="s">
        <v>243</v>
      </c>
      <c r="C184" s="89"/>
      <c r="D184" s="89" t="s">
        <v>130</v>
      </c>
      <c r="E184" s="89">
        <v>88</v>
      </c>
      <c r="F184" s="89" t="s">
        <v>75</v>
      </c>
      <c r="G184" s="89"/>
      <c r="H184" s="89"/>
      <c r="I184" s="89">
        <v>9300</v>
      </c>
      <c r="J184" s="89">
        <v>3000</v>
      </c>
      <c r="K184" s="89"/>
      <c r="L184" s="89"/>
      <c r="M184" s="89"/>
      <c r="N184" s="89"/>
      <c r="O184" s="89"/>
    </row>
    <row r="185" spans="1:17" ht="24">
      <c r="A185" s="90">
        <v>181</v>
      </c>
      <c r="B185" s="90" t="s">
        <v>244</v>
      </c>
      <c r="C185" s="90" t="s">
        <v>370</v>
      </c>
      <c r="D185" s="90">
        <v>3</v>
      </c>
      <c r="E185" s="90">
        <v>89</v>
      </c>
      <c r="F185" s="90" t="s">
        <v>75</v>
      </c>
      <c r="G185" s="90">
        <v>9799878597</v>
      </c>
      <c r="H185" s="90">
        <v>20000</v>
      </c>
      <c r="I185" s="90">
        <v>13300</v>
      </c>
      <c r="J185" s="90">
        <v>4000</v>
      </c>
      <c r="K185" s="90">
        <v>10000</v>
      </c>
      <c r="L185" s="90"/>
      <c r="M185" s="90"/>
      <c r="N185" s="90"/>
      <c r="O185" s="90">
        <f>K185+L185-M185</f>
        <v>10000</v>
      </c>
    </row>
    <row r="186" spans="1:17" ht="24">
      <c r="A186" s="90">
        <v>182</v>
      </c>
      <c r="B186" s="90" t="s">
        <v>172</v>
      </c>
      <c r="C186" s="90"/>
      <c r="D186" s="90" t="s">
        <v>102</v>
      </c>
      <c r="E186" s="90">
        <v>89</v>
      </c>
      <c r="F186" s="90" t="s">
        <v>75</v>
      </c>
      <c r="G186" s="90"/>
      <c r="H186" s="90"/>
      <c r="I186" s="90">
        <v>9800</v>
      </c>
      <c r="J186" s="90">
        <v>4000</v>
      </c>
      <c r="K186" s="90"/>
      <c r="L186" s="90"/>
      <c r="M186" s="90"/>
      <c r="N186" s="90"/>
      <c r="O186" s="90"/>
    </row>
    <row r="187" spans="1:17" ht="24">
      <c r="A187" s="89">
        <v>183</v>
      </c>
      <c r="B187" s="89" t="s">
        <v>245</v>
      </c>
      <c r="C187" s="89" t="s">
        <v>371</v>
      </c>
      <c r="D187" s="89">
        <v>3</v>
      </c>
      <c r="E187" s="89">
        <v>90</v>
      </c>
      <c r="F187" s="89" t="s">
        <v>75</v>
      </c>
      <c r="G187" s="89">
        <v>9571953704</v>
      </c>
      <c r="H187" s="89">
        <v>11000</v>
      </c>
      <c r="I187" s="89">
        <v>13300</v>
      </c>
      <c r="J187" s="89">
        <v>5000</v>
      </c>
      <c r="K187" s="89">
        <v>0</v>
      </c>
      <c r="L187" s="89"/>
      <c r="M187" s="89"/>
      <c r="N187" s="89"/>
      <c r="O187" s="89">
        <f t="shared" ref="O187:O188" si="3">K187+L187-M187</f>
        <v>0</v>
      </c>
    </row>
    <row r="188" spans="1:17" ht="24">
      <c r="A188" s="90">
        <v>184</v>
      </c>
      <c r="B188" s="90" t="s">
        <v>246</v>
      </c>
      <c r="C188" s="90" t="s">
        <v>372</v>
      </c>
      <c r="D188" s="90">
        <v>3</v>
      </c>
      <c r="E188" s="90">
        <v>91</v>
      </c>
      <c r="F188" s="90" t="s">
        <v>75</v>
      </c>
      <c r="G188" s="90">
        <v>9982006644</v>
      </c>
      <c r="H188" s="90">
        <v>20000</v>
      </c>
      <c r="I188" s="90">
        <v>13300</v>
      </c>
      <c r="J188" s="90">
        <v>3600</v>
      </c>
      <c r="K188" s="90">
        <v>12000</v>
      </c>
      <c r="L188" s="90"/>
      <c r="M188" s="90"/>
      <c r="N188" s="90"/>
      <c r="O188" s="90">
        <f t="shared" si="3"/>
        <v>12000</v>
      </c>
    </row>
    <row r="189" spans="1:17" ht="24">
      <c r="A189" s="90">
        <v>185</v>
      </c>
      <c r="B189" s="90" t="s">
        <v>186</v>
      </c>
      <c r="C189" s="90"/>
      <c r="D189" s="90">
        <v>1</v>
      </c>
      <c r="E189" s="90">
        <v>91</v>
      </c>
      <c r="F189" s="90" t="s">
        <v>75</v>
      </c>
      <c r="G189" s="90"/>
      <c r="H189" s="90"/>
      <c r="I189" s="90">
        <v>11500</v>
      </c>
      <c r="J189" s="90">
        <v>3600</v>
      </c>
      <c r="K189" s="90">
        <v>0</v>
      </c>
      <c r="L189" s="90"/>
      <c r="M189" s="90"/>
      <c r="N189" s="90"/>
      <c r="O189" s="90"/>
    </row>
    <row r="190" spans="1:17" ht="24">
      <c r="A190" s="89">
        <v>186</v>
      </c>
      <c r="B190" s="89" t="s">
        <v>247</v>
      </c>
      <c r="C190" s="89" t="s">
        <v>373</v>
      </c>
      <c r="D190" s="89">
        <v>2</v>
      </c>
      <c r="E190" s="89">
        <v>92</v>
      </c>
      <c r="F190" s="89" t="s">
        <v>75</v>
      </c>
      <c r="G190" s="89">
        <v>9983110928</v>
      </c>
      <c r="H190" s="89">
        <v>10000</v>
      </c>
      <c r="I190" s="89">
        <v>12000</v>
      </c>
      <c r="J190" s="89">
        <v>3000</v>
      </c>
      <c r="K190" s="89">
        <v>4000</v>
      </c>
      <c r="L190" s="89"/>
      <c r="M190" s="89"/>
      <c r="N190" s="89"/>
      <c r="O190" s="89">
        <f t="shared" ref="O190:O191" si="4">K190+L190-M190</f>
        <v>4000</v>
      </c>
    </row>
    <row r="191" spans="1:17" ht="24">
      <c r="A191" s="90">
        <v>187</v>
      </c>
      <c r="B191" s="90" t="s">
        <v>248</v>
      </c>
      <c r="C191" s="90" t="s">
        <v>374</v>
      </c>
      <c r="D191" s="90">
        <v>2</v>
      </c>
      <c r="E191" s="90">
        <v>93</v>
      </c>
      <c r="F191" s="90" t="s">
        <v>75</v>
      </c>
      <c r="G191" s="90">
        <v>9866606762</v>
      </c>
      <c r="H191" s="90">
        <v>22700</v>
      </c>
      <c r="I191" s="90">
        <v>12000</v>
      </c>
      <c r="J191" s="90">
        <v>4000</v>
      </c>
      <c r="K191" s="90">
        <v>0</v>
      </c>
      <c r="L191" s="90"/>
      <c r="M191" s="90"/>
      <c r="N191" s="90"/>
      <c r="O191" s="90">
        <f t="shared" si="4"/>
        <v>0</v>
      </c>
    </row>
    <row r="192" spans="1:17" ht="24">
      <c r="A192" s="90">
        <v>188</v>
      </c>
      <c r="B192" s="90" t="s">
        <v>249</v>
      </c>
      <c r="C192" s="90"/>
      <c r="D192" s="90">
        <v>1</v>
      </c>
      <c r="E192" s="90">
        <v>93</v>
      </c>
      <c r="F192" s="90" t="s">
        <v>75</v>
      </c>
      <c r="G192" s="90"/>
      <c r="H192" s="90"/>
      <c r="I192" s="90">
        <v>11500</v>
      </c>
      <c r="J192" s="90">
        <v>4000</v>
      </c>
      <c r="K192" s="90"/>
      <c r="L192" s="90"/>
      <c r="M192" s="90"/>
      <c r="N192" s="90"/>
      <c r="O192" s="90"/>
    </row>
    <row r="193" spans="1:15" ht="24">
      <c r="A193" s="90">
        <v>189</v>
      </c>
      <c r="B193" s="90" t="s">
        <v>250</v>
      </c>
      <c r="C193" s="90"/>
      <c r="D193" s="90" t="s">
        <v>102</v>
      </c>
      <c r="E193" s="90">
        <v>93</v>
      </c>
      <c r="F193" s="90" t="s">
        <v>75</v>
      </c>
      <c r="G193" s="90"/>
      <c r="H193" s="90"/>
      <c r="I193" s="90">
        <v>9800</v>
      </c>
      <c r="J193" s="90">
        <v>4000</v>
      </c>
      <c r="K193" s="90"/>
      <c r="L193" s="90"/>
      <c r="M193" s="90"/>
      <c r="N193" s="90"/>
      <c r="O193" s="90"/>
    </row>
    <row r="194" spans="1:15" ht="24">
      <c r="A194" s="90">
        <v>190</v>
      </c>
      <c r="B194" s="90" t="s">
        <v>251</v>
      </c>
      <c r="C194" s="90"/>
      <c r="D194" s="90">
        <v>2</v>
      </c>
      <c r="E194" s="90">
        <v>93</v>
      </c>
      <c r="F194" s="90" t="s">
        <v>75</v>
      </c>
      <c r="G194" s="90"/>
      <c r="H194" s="90"/>
      <c r="I194" s="90">
        <v>12000</v>
      </c>
      <c r="J194" s="90">
        <v>4000</v>
      </c>
      <c r="K194" s="90"/>
      <c r="L194" s="90"/>
      <c r="M194" s="90"/>
      <c r="N194" s="90"/>
      <c r="O194" s="90">
        <f t="shared" ref="O194:O195" si="5">K194+L194-M194</f>
        <v>0</v>
      </c>
    </row>
    <row r="195" spans="1:15" ht="36">
      <c r="A195" s="89">
        <v>191</v>
      </c>
      <c r="B195" s="89" t="s">
        <v>252</v>
      </c>
      <c r="C195" s="89" t="s">
        <v>375</v>
      </c>
      <c r="D195" s="89">
        <v>2</v>
      </c>
      <c r="E195" s="89">
        <v>94</v>
      </c>
      <c r="F195" s="89" t="s">
        <v>75</v>
      </c>
      <c r="G195" s="89">
        <v>9799059732</v>
      </c>
      <c r="H195" s="89">
        <v>8000</v>
      </c>
      <c r="I195" s="89">
        <v>12000</v>
      </c>
      <c r="J195" s="89">
        <v>2500</v>
      </c>
      <c r="K195" s="89"/>
      <c r="L195" s="89"/>
      <c r="M195" s="89"/>
      <c r="N195" s="89"/>
      <c r="O195" s="89">
        <f t="shared" si="5"/>
        <v>0</v>
      </c>
    </row>
    <row r="196" spans="1:15" ht="24">
      <c r="A196" s="89">
        <v>192</v>
      </c>
      <c r="B196" s="89" t="s">
        <v>253</v>
      </c>
      <c r="C196" s="89"/>
      <c r="D196" s="89" t="s">
        <v>130</v>
      </c>
      <c r="E196" s="89">
        <v>94</v>
      </c>
      <c r="F196" s="89" t="s">
        <v>76</v>
      </c>
      <c r="G196" s="89"/>
      <c r="H196" s="89"/>
      <c r="I196" s="89">
        <v>0</v>
      </c>
      <c r="J196" s="89">
        <v>2500</v>
      </c>
      <c r="K196" s="89"/>
      <c r="L196" s="89"/>
      <c r="M196" s="89"/>
      <c r="N196" s="89"/>
      <c r="O196" s="89"/>
    </row>
    <row r="197" spans="1:15" ht="36">
      <c r="A197" s="90">
        <v>193</v>
      </c>
      <c r="B197" s="90" t="s">
        <v>254</v>
      </c>
      <c r="C197" s="90" t="s">
        <v>376</v>
      </c>
      <c r="D197" s="90">
        <v>2</v>
      </c>
      <c r="E197" s="90">
        <v>95</v>
      </c>
      <c r="F197" s="90" t="s">
        <v>75</v>
      </c>
      <c r="G197" s="90">
        <v>9772126103</v>
      </c>
      <c r="H197" s="90">
        <v>15000</v>
      </c>
      <c r="I197" s="90">
        <v>12000</v>
      </c>
      <c r="J197" s="90">
        <v>2000</v>
      </c>
      <c r="K197" s="90">
        <v>5000</v>
      </c>
      <c r="L197" s="90"/>
      <c r="M197" s="90"/>
      <c r="N197" s="90"/>
      <c r="O197" s="90">
        <f>K197+L197-M197</f>
        <v>5000</v>
      </c>
    </row>
    <row r="198" spans="1:15" ht="24">
      <c r="A198" s="90">
        <v>194</v>
      </c>
      <c r="B198" s="90" t="s">
        <v>255</v>
      </c>
      <c r="C198" s="90"/>
      <c r="D198" s="90">
        <v>2</v>
      </c>
      <c r="E198" s="90">
        <v>95</v>
      </c>
      <c r="F198" s="90" t="s">
        <v>75</v>
      </c>
      <c r="G198" s="90"/>
      <c r="H198" s="90"/>
      <c r="I198" s="90">
        <v>12000</v>
      </c>
      <c r="J198" s="90">
        <v>2000</v>
      </c>
      <c r="K198" s="90"/>
      <c r="L198" s="90"/>
      <c r="M198" s="90"/>
      <c r="N198" s="90"/>
      <c r="O198" s="90"/>
    </row>
    <row r="199" spans="1:15" ht="24">
      <c r="A199" s="89">
        <v>195</v>
      </c>
      <c r="B199" s="89" t="s">
        <v>256</v>
      </c>
      <c r="C199" s="89" t="s">
        <v>377</v>
      </c>
      <c r="D199" s="89">
        <v>2</v>
      </c>
      <c r="E199" s="89">
        <v>96</v>
      </c>
      <c r="F199" s="89" t="s">
        <v>75</v>
      </c>
      <c r="G199" s="89">
        <v>9413147378</v>
      </c>
      <c r="H199" s="89">
        <v>15000</v>
      </c>
      <c r="I199" s="89">
        <v>12000</v>
      </c>
      <c r="J199" s="89">
        <v>5000</v>
      </c>
      <c r="K199" s="89">
        <v>0</v>
      </c>
      <c r="L199" s="89"/>
      <c r="M199" s="89"/>
      <c r="N199" s="89"/>
      <c r="O199" s="89">
        <f>K199+L199-M199</f>
        <v>0</v>
      </c>
    </row>
    <row r="200" spans="1:15" ht="24">
      <c r="A200" s="90">
        <v>196</v>
      </c>
      <c r="B200" s="90" t="s">
        <v>257</v>
      </c>
      <c r="C200" s="90" t="s">
        <v>378</v>
      </c>
      <c r="D200" s="90">
        <v>2</v>
      </c>
      <c r="E200" s="90">
        <v>97</v>
      </c>
      <c r="F200" s="90" t="s">
        <v>75</v>
      </c>
      <c r="G200" s="90"/>
      <c r="H200" s="90">
        <v>0</v>
      </c>
      <c r="I200" s="90">
        <v>0</v>
      </c>
      <c r="J200" s="90">
        <v>0</v>
      </c>
      <c r="K200" s="90">
        <v>0</v>
      </c>
      <c r="L200" s="90">
        <v>0</v>
      </c>
      <c r="M200" s="90"/>
      <c r="N200" s="90"/>
      <c r="O200" s="90">
        <f>K200+L200-M200</f>
        <v>0</v>
      </c>
    </row>
    <row r="201" spans="1:15" ht="48">
      <c r="A201" s="89">
        <v>197</v>
      </c>
      <c r="B201" s="89" t="s">
        <v>258</v>
      </c>
      <c r="C201" s="89" t="s">
        <v>379</v>
      </c>
      <c r="D201" s="89">
        <v>2</v>
      </c>
      <c r="E201" s="89">
        <v>98</v>
      </c>
      <c r="F201" s="89" t="s">
        <v>75</v>
      </c>
      <c r="G201" s="89">
        <v>9783518237</v>
      </c>
      <c r="H201" s="89">
        <v>13000</v>
      </c>
      <c r="I201" s="89">
        <v>12000</v>
      </c>
      <c r="J201" s="89">
        <v>2500</v>
      </c>
      <c r="K201" s="89">
        <v>3000</v>
      </c>
      <c r="L201" s="89"/>
      <c r="M201" s="89"/>
      <c r="N201" s="89"/>
      <c r="O201" s="89">
        <f>K201+L201-M201</f>
        <v>3000</v>
      </c>
    </row>
    <row r="202" spans="1:15" ht="24">
      <c r="A202" s="89">
        <v>198</v>
      </c>
      <c r="B202" s="89" t="s">
        <v>259</v>
      </c>
      <c r="C202" s="89"/>
      <c r="D202" s="89" t="s">
        <v>130</v>
      </c>
      <c r="E202" s="89">
        <v>98</v>
      </c>
      <c r="F202" s="89" t="s">
        <v>75</v>
      </c>
      <c r="G202" s="89"/>
      <c r="H202" s="89"/>
      <c r="I202" s="89">
        <v>9300</v>
      </c>
      <c r="J202" s="89">
        <v>2500</v>
      </c>
      <c r="K202" s="89"/>
      <c r="L202" s="89"/>
      <c r="M202" s="89"/>
      <c r="N202" s="89"/>
      <c r="O202" s="89"/>
    </row>
    <row r="203" spans="1:15" ht="24">
      <c r="A203" s="91">
        <v>199</v>
      </c>
      <c r="B203" s="91" t="s">
        <v>380</v>
      </c>
      <c r="C203" s="90"/>
      <c r="D203" s="90">
        <v>2</v>
      </c>
      <c r="E203" s="90">
        <v>99</v>
      </c>
      <c r="F203" s="90" t="s">
        <v>76</v>
      </c>
      <c r="G203" s="90"/>
      <c r="H203" s="90">
        <v>2500</v>
      </c>
      <c r="I203" s="90">
        <v>0</v>
      </c>
      <c r="J203" s="90">
        <v>2800</v>
      </c>
      <c r="K203" s="90">
        <v>0</v>
      </c>
      <c r="L203" s="90"/>
      <c r="M203" s="90"/>
      <c r="N203" s="90"/>
      <c r="O203" s="90">
        <f>K203+L203-M203</f>
        <v>0</v>
      </c>
    </row>
    <row r="204" spans="1:15" ht="24">
      <c r="A204" s="91">
        <v>200</v>
      </c>
      <c r="B204" s="91" t="s">
        <v>260</v>
      </c>
      <c r="C204" s="119" t="s">
        <v>381</v>
      </c>
      <c r="D204" s="119">
        <v>1</v>
      </c>
      <c r="E204" s="119">
        <v>100</v>
      </c>
      <c r="F204" s="119" t="s">
        <v>75</v>
      </c>
      <c r="G204" s="119"/>
      <c r="H204" s="119">
        <v>13600</v>
      </c>
      <c r="I204" s="119">
        <v>11500</v>
      </c>
      <c r="J204" s="119">
        <v>2800</v>
      </c>
      <c r="K204" s="119">
        <v>0</v>
      </c>
      <c r="L204" s="119"/>
      <c r="M204" s="119"/>
      <c r="N204" s="119"/>
      <c r="O204" s="119">
        <f>K204+L204-M204</f>
        <v>0</v>
      </c>
    </row>
    <row r="205" spans="1:15" ht="24">
      <c r="A205" s="91">
        <v>201</v>
      </c>
      <c r="B205" s="91" t="s">
        <v>261</v>
      </c>
      <c r="C205" s="119"/>
      <c r="D205" s="119" t="s">
        <v>102</v>
      </c>
      <c r="E205" s="119">
        <v>100</v>
      </c>
      <c r="F205" s="119" t="s">
        <v>76</v>
      </c>
      <c r="G205" s="119"/>
      <c r="H205" s="119"/>
      <c r="I205" s="119">
        <v>0</v>
      </c>
      <c r="J205" s="119">
        <v>2800</v>
      </c>
      <c r="K205" s="119"/>
      <c r="L205" s="119"/>
      <c r="M205" s="119"/>
      <c r="N205" s="119"/>
      <c r="O205" s="119"/>
    </row>
    <row r="206" spans="1:15" ht="24">
      <c r="A206" s="90">
        <v>202</v>
      </c>
      <c r="B206" s="90" t="s">
        <v>262</v>
      </c>
      <c r="C206" s="90" t="s">
        <v>382</v>
      </c>
      <c r="D206" s="90">
        <v>1</v>
      </c>
      <c r="E206" s="90">
        <v>101</v>
      </c>
      <c r="F206" s="90" t="s">
        <v>75</v>
      </c>
      <c r="G206" s="90">
        <v>9602419986</v>
      </c>
      <c r="H206" s="90">
        <v>11500</v>
      </c>
      <c r="I206" s="90">
        <v>11500</v>
      </c>
      <c r="J206" s="90">
        <v>4800</v>
      </c>
      <c r="K206" s="90">
        <v>0</v>
      </c>
      <c r="L206" s="90"/>
      <c r="M206" s="90"/>
      <c r="N206" s="90"/>
      <c r="O206" s="90">
        <f>K206+L206-M206</f>
        <v>0</v>
      </c>
    </row>
    <row r="207" spans="1:15" ht="24">
      <c r="A207" s="89">
        <v>203</v>
      </c>
      <c r="B207" s="89" t="s">
        <v>263</v>
      </c>
      <c r="C207" s="89"/>
      <c r="D207" s="89">
        <v>1</v>
      </c>
      <c r="E207" s="89">
        <v>102</v>
      </c>
      <c r="F207" s="89" t="s">
        <v>75</v>
      </c>
      <c r="G207" s="89"/>
      <c r="H207" s="89">
        <v>10000</v>
      </c>
      <c r="I207" s="89">
        <v>11500</v>
      </c>
      <c r="J207" s="89">
        <v>0</v>
      </c>
      <c r="K207" s="89">
        <v>0</v>
      </c>
      <c r="L207" s="89"/>
      <c r="M207" s="89"/>
      <c r="N207" s="89"/>
      <c r="O207" s="89">
        <f>K207+L207-M207</f>
        <v>0</v>
      </c>
    </row>
    <row r="208" spans="1:15" ht="24">
      <c r="A208" s="89">
        <v>204</v>
      </c>
      <c r="B208" s="89" t="s">
        <v>264</v>
      </c>
      <c r="C208" s="89"/>
      <c r="D208" s="89" t="s">
        <v>102</v>
      </c>
      <c r="E208" s="89">
        <v>102</v>
      </c>
      <c r="F208" s="89" t="s">
        <v>75</v>
      </c>
      <c r="G208" s="89"/>
      <c r="H208" s="89"/>
      <c r="I208" s="89">
        <v>9800</v>
      </c>
      <c r="J208" s="89">
        <v>0</v>
      </c>
      <c r="K208" s="89"/>
      <c r="L208" s="89"/>
      <c r="M208" s="89"/>
      <c r="N208" s="89"/>
      <c r="O208" s="89"/>
    </row>
    <row r="209" spans="1:15" ht="24">
      <c r="A209" s="90">
        <v>205</v>
      </c>
      <c r="B209" s="90" t="s">
        <v>265</v>
      </c>
      <c r="C209" s="90" t="s">
        <v>383</v>
      </c>
      <c r="D209" s="90">
        <v>1</v>
      </c>
      <c r="E209" s="90">
        <v>103</v>
      </c>
      <c r="F209" s="90" t="s">
        <v>75</v>
      </c>
      <c r="G209" s="90">
        <v>9784361216</v>
      </c>
      <c r="H209" s="90">
        <v>11000</v>
      </c>
      <c r="I209" s="90">
        <v>11500</v>
      </c>
      <c r="J209" s="90">
        <v>4800</v>
      </c>
      <c r="K209" s="90">
        <v>2000</v>
      </c>
      <c r="L209" s="90"/>
      <c r="M209" s="90"/>
      <c r="N209" s="90"/>
      <c r="O209" s="90">
        <f t="shared" ref="O209:O219" si="6">K209+L209-M209</f>
        <v>2000</v>
      </c>
    </row>
    <row r="210" spans="1:15" ht="36">
      <c r="A210" s="89">
        <v>206</v>
      </c>
      <c r="B210" s="89" t="s">
        <v>266</v>
      </c>
      <c r="C210" s="89"/>
      <c r="D210" s="89">
        <v>1</v>
      </c>
      <c r="E210" s="89">
        <v>104</v>
      </c>
      <c r="F210" s="89" t="s">
        <v>76</v>
      </c>
      <c r="G210" s="89"/>
      <c r="H210" s="89">
        <v>2500</v>
      </c>
      <c r="I210" s="89">
        <v>11500</v>
      </c>
      <c r="J210" s="89">
        <v>2300</v>
      </c>
      <c r="K210" s="89">
        <v>3000</v>
      </c>
      <c r="L210" s="89"/>
      <c r="M210" s="89"/>
      <c r="N210" s="89"/>
      <c r="O210" s="89">
        <f t="shared" si="6"/>
        <v>3000</v>
      </c>
    </row>
    <row r="211" spans="1:15" ht="24">
      <c r="A211" s="90">
        <v>207</v>
      </c>
      <c r="B211" s="90" t="s">
        <v>267</v>
      </c>
      <c r="C211" s="90"/>
      <c r="D211" s="90">
        <v>1</v>
      </c>
      <c r="E211" s="90">
        <v>105</v>
      </c>
      <c r="F211" s="90" t="s">
        <v>75</v>
      </c>
      <c r="G211" s="90"/>
      <c r="H211" s="90">
        <v>8000</v>
      </c>
      <c r="I211" s="90">
        <v>11500</v>
      </c>
      <c r="J211" s="90">
        <v>2800</v>
      </c>
      <c r="K211" s="90">
        <v>3000</v>
      </c>
      <c r="L211" s="90"/>
      <c r="M211" s="90"/>
      <c r="N211" s="90"/>
      <c r="O211" s="90">
        <f t="shared" si="6"/>
        <v>3000</v>
      </c>
    </row>
    <row r="212" spans="1:15" ht="24">
      <c r="A212" s="89">
        <v>208</v>
      </c>
      <c r="B212" s="89" t="s">
        <v>268</v>
      </c>
      <c r="C212" s="89"/>
      <c r="D212" s="89">
        <v>1</v>
      </c>
      <c r="E212" s="89">
        <v>106</v>
      </c>
      <c r="F212" s="89" t="s">
        <v>75</v>
      </c>
      <c r="G212" s="89"/>
      <c r="H212" s="89">
        <v>9000</v>
      </c>
      <c r="I212" s="89">
        <v>11500</v>
      </c>
      <c r="J212" s="89">
        <v>5000</v>
      </c>
      <c r="K212" s="89">
        <v>0</v>
      </c>
      <c r="L212" s="89"/>
      <c r="M212" s="89"/>
      <c r="N212" s="89"/>
      <c r="O212" s="89">
        <f t="shared" si="6"/>
        <v>0</v>
      </c>
    </row>
    <row r="213" spans="1:15" ht="48">
      <c r="A213" s="90">
        <v>209</v>
      </c>
      <c r="B213" s="90" t="s">
        <v>269</v>
      </c>
      <c r="C213" s="90"/>
      <c r="D213" s="90">
        <v>1</v>
      </c>
      <c r="E213" s="90">
        <v>107</v>
      </c>
      <c r="F213" s="90" t="s">
        <v>75</v>
      </c>
      <c r="G213" s="90"/>
      <c r="H213" s="90">
        <v>10000</v>
      </c>
      <c r="I213" s="90">
        <v>11500</v>
      </c>
      <c r="J213" s="90">
        <v>4000</v>
      </c>
      <c r="K213" s="90">
        <v>6000</v>
      </c>
      <c r="L213" s="90"/>
      <c r="M213" s="90"/>
      <c r="N213" s="90"/>
      <c r="O213" s="90">
        <f t="shared" si="6"/>
        <v>6000</v>
      </c>
    </row>
    <row r="214" spans="1:15" ht="24">
      <c r="A214" s="89">
        <v>210</v>
      </c>
      <c r="B214" s="89" t="s">
        <v>270</v>
      </c>
      <c r="C214" s="89"/>
      <c r="D214" s="89">
        <v>1</v>
      </c>
      <c r="E214" s="89">
        <v>108</v>
      </c>
      <c r="F214" s="89" t="s">
        <v>75</v>
      </c>
      <c r="G214" s="89"/>
      <c r="H214" s="89">
        <v>7000</v>
      </c>
      <c r="I214" s="89">
        <v>11500</v>
      </c>
      <c r="J214" s="89">
        <v>3200</v>
      </c>
      <c r="K214" s="89">
        <v>0</v>
      </c>
      <c r="L214" s="89"/>
      <c r="M214" s="89"/>
      <c r="N214" s="89"/>
      <c r="O214" s="89">
        <f t="shared" si="6"/>
        <v>0</v>
      </c>
    </row>
    <row r="215" spans="1:15" ht="24">
      <c r="A215" s="90">
        <v>211</v>
      </c>
      <c r="B215" s="90" t="s">
        <v>271</v>
      </c>
      <c r="C215" s="94" t="s">
        <v>384</v>
      </c>
      <c r="D215" s="90" t="s">
        <v>102</v>
      </c>
      <c r="E215" s="90">
        <v>109</v>
      </c>
      <c r="F215" s="90" t="s">
        <v>75</v>
      </c>
      <c r="G215" s="90"/>
      <c r="H215" s="90">
        <v>7000</v>
      </c>
      <c r="I215" s="90">
        <v>9800</v>
      </c>
      <c r="J215" s="90">
        <v>2500</v>
      </c>
      <c r="K215" s="90">
        <v>12000</v>
      </c>
      <c r="L215" s="90"/>
      <c r="M215" s="90"/>
      <c r="N215" s="90"/>
      <c r="O215" s="90">
        <f t="shared" si="6"/>
        <v>12000</v>
      </c>
    </row>
    <row r="216" spans="1:15" ht="48">
      <c r="A216" s="89">
        <v>212</v>
      </c>
      <c r="B216" s="89" t="s">
        <v>173</v>
      </c>
      <c r="C216" s="89" t="s">
        <v>385</v>
      </c>
      <c r="D216" s="89" t="s">
        <v>102</v>
      </c>
      <c r="E216" s="89">
        <v>110</v>
      </c>
      <c r="F216" s="89" t="s">
        <v>76</v>
      </c>
      <c r="G216" s="89"/>
      <c r="H216" s="89">
        <v>2500</v>
      </c>
      <c r="I216" s="89">
        <v>0</v>
      </c>
      <c r="J216" s="89">
        <v>2500</v>
      </c>
      <c r="K216" s="89">
        <v>0</v>
      </c>
      <c r="L216" s="89"/>
      <c r="M216" s="89"/>
      <c r="N216" s="89"/>
      <c r="O216" s="89">
        <f t="shared" si="6"/>
        <v>0</v>
      </c>
    </row>
    <row r="217" spans="1:15" ht="36">
      <c r="A217" s="90">
        <v>213</v>
      </c>
      <c r="B217" s="90" t="s">
        <v>272</v>
      </c>
      <c r="C217" s="90" t="s">
        <v>386</v>
      </c>
      <c r="D217" s="90" t="s">
        <v>102</v>
      </c>
      <c r="E217" s="90">
        <v>111</v>
      </c>
      <c r="F217" s="90" t="s">
        <v>75</v>
      </c>
      <c r="G217" s="90">
        <v>9887505222</v>
      </c>
      <c r="H217" s="90">
        <v>10000</v>
      </c>
      <c r="I217" s="90">
        <v>9800</v>
      </c>
      <c r="J217" s="90">
        <v>3000</v>
      </c>
      <c r="K217" s="90">
        <v>4200</v>
      </c>
      <c r="L217" s="90"/>
      <c r="M217" s="90">
        <v>4000</v>
      </c>
      <c r="N217" s="90"/>
      <c r="O217" s="90">
        <f t="shared" si="6"/>
        <v>200</v>
      </c>
    </row>
    <row r="218" spans="1:15" ht="24">
      <c r="A218" s="89">
        <v>214</v>
      </c>
      <c r="B218" s="89" t="s">
        <v>273</v>
      </c>
      <c r="C218" s="89" t="s">
        <v>387</v>
      </c>
      <c r="D218" s="89" t="s">
        <v>102</v>
      </c>
      <c r="E218" s="89">
        <v>112</v>
      </c>
      <c r="F218" s="89" t="s">
        <v>76</v>
      </c>
      <c r="G218" s="89"/>
      <c r="H218" s="89">
        <v>0</v>
      </c>
      <c r="I218" s="89">
        <v>0</v>
      </c>
      <c r="J218" s="89">
        <v>0</v>
      </c>
      <c r="K218" s="89">
        <v>0</v>
      </c>
      <c r="L218" s="89"/>
      <c r="M218" s="89"/>
      <c r="N218" s="89"/>
      <c r="O218" s="89">
        <f t="shared" si="6"/>
        <v>0</v>
      </c>
    </row>
    <row r="219" spans="1:15" ht="24">
      <c r="A219" s="90">
        <v>215</v>
      </c>
      <c r="B219" s="90" t="s">
        <v>274</v>
      </c>
      <c r="C219" s="90" t="s">
        <v>388</v>
      </c>
      <c r="D219" s="90" t="s">
        <v>102</v>
      </c>
      <c r="E219" s="90">
        <v>113</v>
      </c>
      <c r="F219" s="90" t="s">
        <v>75</v>
      </c>
      <c r="G219" s="90">
        <v>9785141718</v>
      </c>
      <c r="H219" s="90">
        <v>15000</v>
      </c>
      <c r="I219" s="90">
        <v>9800</v>
      </c>
      <c r="J219" s="90">
        <v>5200</v>
      </c>
      <c r="K219" s="90">
        <v>5000</v>
      </c>
      <c r="L219" s="90"/>
      <c r="M219" s="90"/>
      <c r="N219" s="90"/>
      <c r="O219" s="90">
        <f t="shared" si="6"/>
        <v>5000</v>
      </c>
    </row>
    <row r="220" spans="1:15" ht="24">
      <c r="A220" s="90">
        <v>216</v>
      </c>
      <c r="B220" s="90" t="s">
        <v>275</v>
      </c>
      <c r="C220" s="90"/>
      <c r="D220" s="90" t="s">
        <v>130</v>
      </c>
      <c r="E220" s="90">
        <v>113</v>
      </c>
      <c r="F220" s="90" t="s">
        <v>75</v>
      </c>
      <c r="G220" s="90"/>
      <c r="H220" s="90"/>
      <c r="I220" s="90">
        <v>9300</v>
      </c>
      <c r="J220" s="90">
        <v>5200</v>
      </c>
      <c r="K220" s="90"/>
      <c r="L220" s="90"/>
      <c r="M220" s="90"/>
      <c r="N220" s="90"/>
      <c r="O220" s="90"/>
    </row>
    <row r="221" spans="1:15" ht="24">
      <c r="A221" s="89">
        <v>217</v>
      </c>
      <c r="B221" s="89" t="s">
        <v>35</v>
      </c>
      <c r="C221" s="89" t="s">
        <v>389</v>
      </c>
      <c r="D221" s="89" t="s">
        <v>102</v>
      </c>
      <c r="E221" s="89">
        <v>114</v>
      </c>
      <c r="F221" s="89" t="s">
        <v>75</v>
      </c>
      <c r="G221" s="89">
        <v>7690040030</v>
      </c>
      <c r="H221" s="89">
        <v>15000</v>
      </c>
      <c r="I221" s="89">
        <v>9800</v>
      </c>
      <c r="J221" s="89">
        <v>3200</v>
      </c>
      <c r="K221" s="89">
        <v>10000</v>
      </c>
      <c r="L221" s="89"/>
      <c r="M221" s="89"/>
      <c r="N221" s="89"/>
      <c r="O221" s="89">
        <f>K221+L221-M221</f>
        <v>10000</v>
      </c>
    </row>
    <row r="222" spans="1:15" ht="24">
      <c r="A222" s="89">
        <v>218</v>
      </c>
      <c r="B222" s="89" t="s">
        <v>276</v>
      </c>
      <c r="C222" s="89"/>
      <c r="D222" s="89" t="s">
        <v>130</v>
      </c>
      <c r="E222" s="89">
        <v>114</v>
      </c>
      <c r="F222" s="89" t="s">
        <v>75</v>
      </c>
      <c r="G222" s="89"/>
      <c r="H222" s="89"/>
      <c r="I222" s="89">
        <v>9300</v>
      </c>
      <c r="J222" s="89">
        <v>3200</v>
      </c>
      <c r="K222" s="89"/>
      <c r="L222" s="89"/>
      <c r="M222" s="89"/>
      <c r="N222" s="89"/>
      <c r="O222" s="89"/>
    </row>
    <row r="223" spans="1:15" ht="24">
      <c r="A223" s="90">
        <v>219</v>
      </c>
      <c r="B223" s="90" t="s">
        <v>277</v>
      </c>
      <c r="C223" s="90" t="s">
        <v>390</v>
      </c>
      <c r="D223" s="90" t="s">
        <v>102</v>
      </c>
      <c r="E223" s="90">
        <v>115</v>
      </c>
      <c r="F223" s="90" t="s">
        <v>75</v>
      </c>
      <c r="G223" s="90">
        <v>9983197266</v>
      </c>
      <c r="H223" s="90">
        <v>10000</v>
      </c>
      <c r="I223" s="90">
        <v>9800</v>
      </c>
      <c r="J223" s="90">
        <v>3600</v>
      </c>
      <c r="K223" s="90">
        <v>5000</v>
      </c>
      <c r="L223" s="90"/>
      <c r="M223" s="90"/>
      <c r="N223" s="90"/>
      <c r="O223" s="90">
        <f t="shared" ref="O223:O238" si="7">K223+L223-M223</f>
        <v>5000</v>
      </c>
    </row>
    <row r="224" spans="1:15" ht="24">
      <c r="A224" s="89">
        <v>220</v>
      </c>
      <c r="B224" s="89" t="s">
        <v>278</v>
      </c>
      <c r="C224" s="89" t="s">
        <v>532</v>
      </c>
      <c r="D224" s="89" t="s">
        <v>130</v>
      </c>
      <c r="E224" s="89">
        <v>116</v>
      </c>
      <c r="F224" s="89" t="s">
        <v>76</v>
      </c>
      <c r="G224" s="89"/>
      <c r="H224" s="89">
        <v>0</v>
      </c>
      <c r="I224" s="89">
        <v>0</v>
      </c>
      <c r="J224" s="89">
        <v>2500</v>
      </c>
      <c r="K224" s="89">
        <v>0</v>
      </c>
      <c r="L224" s="89"/>
      <c r="M224" s="89"/>
      <c r="N224" s="89"/>
      <c r="O224" s="89">
        <f t="shared" si="7"/>
        <v>0</v>
      </c>
    </row>
    <row r="225" spans="1:16" ht="24">
      <c r="A225" s="90">
        <v>221</v>
      </c>
      <c r="B225" s="90" t="s">
        <v>279</v>
      </c>
      <c r="C225" s="90" t="s">
        <v>391</v>
      </c>
      <c r="D225" s="90" t="s">
        <v>130</v>
      </c>
      <c r="E225" s="90">
        <v>117</v>
      </c>
      <c r="F225" s="90" t="s">
        <v>75</v>
      </c>
      <c r="G225" s="90">
        <v>9784482877</v>
      </c>
      <c r="H225" s="90">
        <v>4000</v>
      </c>
      <c r="I225" s="90">
        <v>9300</v>
      </c>
      <c r="J225" s="90">
        <v>3000</v>
      </c>
      <c r="K225" s="90">
        <v>4000</v>
      </c>
      <c r="L225" s="90"/>
      <c r="M225" s="90"/>
      <c r="N225" s="90"/>
      <c r="O225" s="90">
        <f t="shared" si="7"/>
        <v>4000</v>
      </c>
      <c r="P225" s="96" t="s">
        <v>531</v>
      </c>
    </row>
    <row r="226" spans="1:16" ht="24">
      <c r="A226" s="89">
        <v>222</v>
      </c>
      <c r="B226" s="89" t="s">
        <v>280</v>
      </c>
      <c r="C226" s="89"/>
      <c r="D226" s="89" t="s">
        <v>130</v>
      </c>
      <c r="E226" s="89">
        <v>118</v>
      </c>
      <c r="F226" s="89" t="s">
        <v>75</v>
      </c>
      <c r="G226" s="89"/>
      <c r="H226" s="89">
        <v>5800</v>
      </c>
      <c r="I226" s="89">
        <v>9300</v>
      </c>
      <c r="J226" s="89">
        <v>3000</v>
      </c>
      <c r="K226" s="89">
        <v>0</v>
      </c>
      <c r="L226" s="89"/>
      <c r="M226" s="89"/>
      <c r="N226" s="89"/>
      <c r="O226" s="89">
        <f t="shared" si="7"/>
        <v>0</v>
      </c>
    </row>
    <row r="227" spans="1:16" ht="48">
      <c r="A227" s="90">
        <v>224</v>
      </c>
      <c r="B227" s="90" t="s">
        <v>281</v>
      </c>
      <c r="C227" s="90" t="s">
        <v>392</v>
      </c>
      <c r="D227" s="90" t="s">
        <v>130</v>
      </c>
      <c r="E227" s="90">
        <v>119</v>
      </c>
      <c r="F227" s="90" t="s">
        <v>76</v>
      </c>
      <c r="G227" s="90">
        <v>9694708380</v>
      </c>
      <c r="H227" s="90">
        <v>2000</v>
      </c>
      <c r="I227" s="90">
        <v>0</v>
      </c>
      <c r="J227" s="90">
        <v>2500</v>
      </c>
      <c r="K227" s="90">
        <v>0</v>
      </c>
      <c r="L227" s="90"/>
      <c r="M227" s="90"/>
      <c r="N227" s="90"/>
      <c r="O227" s="90">
        <f t="shared" si="7"/>
        <v>0</v>
      </c>
    </row>
    <row r="228" spans="1:16" ht="84">
      <c r="A228" s="128">
        <v>225</v>
      </c>
      <c r="B228" s="128" t="s">
        <v>282</v>
      </c>
      <c r="C228" s="128"/>
      <c r="D228" s="128" t="s">
        <v>533</v>
      </c>
      <c r="E228" s="128">
        <v>120</v>
      </c>
      <c r="F228" s="128" t="s">
        <v>75</v>
      </c>
      <c r="G228" s="128"/>
      <c r="H228" s="128">
        <v>6500</v>
      </c>
      <c r="I228" s="128">
        <v>9300</v>
      </c>
      <c r="J228" s="128">
        <v>2800</v>
      </c>
      <c r="K228" s="128">
        <v>0</v>
      </c>
      <c r="L228" s="128"/>
      <c r="M228" s="128"/>
      <c r="N228" s="128"/>
      <c r="O228" s="128">
        <f t="shared" si="7"/>
        <v>0</v>
      </c>
    </row>
    <row r="229" spans="1:16" ht="72">
      <c r="A229" s="89">
        <v>227</v>
      </c>
      <c r="B229" s="89" t="s">
        <v>284</v>
      </c>
      <c r="C229" s="89" t="s">
        <v>394</v>
      </c>
      <c r="D229" s="89" t="s">
        <v>98</v>
      </c>
      <c r="E229" s="89">
        <v>122</v>
      </c>
      <c r="F229" s="89" t="s">
        <v>75</v>
      </c>
      <c r="G229" s="89">
        <v>9166294727</v>
      </c>
      <c r="H229" s="89">
        <v>0</v>
      </c>
      <c r="I229" s="89">
        <v>8500</v>
      </c>
      <c r="J229" s="89">
        <v>2000</v>
      </c>
      <c r="K229" s="89">
        <v>0</v>
      </c>
      <c r="L229" s="89"/>
      <c r="M229" s="89"/>
      <c r="N229" s="89"/>
      <c r="O229" s="89">
        <f t="shared" si="7"/>
        <v>0</v>
      </c>
    </row>
    <row r="230" spans="1:16" ht="24">
      <c r="A230" s="89">
        <v>228</v>
      </c>
      <c r="B230" s="89" t="s">
        <v>95</v>
      </c>
      <c r="C230" s="89"/>
      <c r="D230" s="89" t="s">
        <v>130</v>
      </c>
      <c r="E230" s="89">
        <v>122</v>
      </c>
      <c r="F230" s="89" t="s">
        <v>76</v>
      </c>
      <c r="G230" s="89"/>
      <c r="H230" s="89">
        <v>2000</v>
      </c>
      <c r="I230" s="89">
        <v>0</v>
      </c>
      <c r="J230" s="89">
        <v>2000</v>
      </c>
      <c r="K230" s="89"/>
      <c r="L230" s="89"/>
      <c r="M230" s="89"/>
      <c r="N230" s="89"/>
      <c r="O230" s="89">
        <f t="shared" si="7"/>
        <v>0</v>
      </c>
    </row>
    <row r="231" spans="1:16" ht="24">
      <c r="A231" s="90">
        <v>229</v>
      </c>
      <c r="B231" s="90" t="s">
        <v>285</v>
      </c>
      <c r="C231" s="90" t="s">
        <v>395</v>
      </c>
      <c r="D231" s="90" t="s">
        <v>130</v>
      </c>
      <c r="E231" s="90">
        <v>123</v>
      </c>
      <c r="F231" s="90" t="s">
        <v>75</v>
      </c>
      <c r="G231" s="90">
        <v>7878960692</v>
      </c>
      <c r="H231" s="90">
        <v>5000</v>
      </c>
      <c r="I231" s="90">
        <v>9300</v>
      </c>
      <c r="J231" s="90">
        <v>2800</v>
      </c>
      <c r="K231" s="90">
        <v>2500</v>
      </c>
      <c r="L231" s="90"/>
      <c r="M231" s="90"/>
      <c r="N231" s="90"/>
      <c r="O231" s="90">
        <f t="shared" si="7"/>
        <v>2500</v>
      </c>
    </row>
    <row r="232" spans="1:16" ht="24">
      <c r="A232" s="89">
        <v>230</v>
      </c>
      <c r="B232" s="89" t="s">
        <v>286</v>
      </c>
      <c r="C232" s="89" t="s">
        <v>534</v>
      </c>
      <c r="D232" s="89" t="s">
        <v>130</v>
      </c>
      <c r="E232" s="89">
        <v>124</v>
      </c>
      <c r="F232" s="89" t="s">
        <v>75</v>
      </c>
      <c r="G232" s="89"/>
      <c r="H232" s="89">
        <v>5000</v>
      </c>
      <c r="I232" s="89">
        <v>9300</v>
      </c>
      <c r="J232" s="89">
        <v>2500</v>
      </c>
      <c r="K232" s="89">
        <v>5000</v>
      </c>
      <c r="L232" s="89"/>
      <c r="M232" s="89"/>
      <c r="N232" s="89"/>
      <c r="O232" s="89">
        <f t="shared" si="7"/>
        <v>5000</v>
      </c>
    </row>
    <row r="233" spans="1:16" ht="24">
      <c r="A233" s="116">
        <v>231</v>
      </c>
      <c r="B233" s="116" t="s">
        <v>287</v>
      </c>
      <c r="C233" s="90" t="s">
        <v>473</v>
      </c>
      <c r="D233" s="90" t="s">
        <v>130</v>
      </c>
      <c r="E233" s="90">
        <v>125</v>
      </c>
      <c r="F233" s="90" t="s">
        <v>76</v>
      </c>
      <c r="G233" s="90"/>
      <c r="H233" s="90">
        <v>0</v>
      </c>
      <c r="I233" s="90">
        <v>0</v>
      </c>
      <c r="J233" s="90">
        <v>2500</v>
      </c>
      <c r="K233" s="90">
        <v>0</v>
      </c>
      <c r="L233" s="90"/>
      <c r="M233" s="90"/>
      <c r="N233" s="90"/>
      <c r="O233" s="90">
        <f t="shared" si="7"/>
        <v>0</v>
      </c>
    </row>
    <row r="234" spans="1:16">
      <c r="A234" s="89">
        <v>232</v>
      </c>
      <c r="B234" s="89" t="s">
        <v>288</v>
      </c>
      <c r="C234" s="89" t="s">
        <v>535</v>
      </c>
      <c r="D234" s="89" t="s">
        <v>130</v>
      </c>
      <c r="E234" s="89">
        <v>126</v>
      </c>
      <c r="F234" s="89" t="s">
        <v>75</v>
      </c>
      <c r="G234" s="89"/>
      <c r="H234" s="89">
        <v>5000</v>
      </c>
      <c r="I234" s="89">
        <v>9300</v>
      </c>
      <c r="J234" s="89">
        <v>5000</v>
      </c>
      <c r="K234" s="89">
        <v>5000</v>
      </c>
      <c r="L234" s="89"/>
      <c r="M234" s="89"/>
      <c r="N234" s="89"/>
      <c r="O234" s="89">
        <f t="shared" si="7"/>
        <v>5000</v>
      </c>
    </row>
    <row r="235" spans="1:16" ht="24">
      <c r="A235" s="90">
        <v>233</v>
      </c>
      <c r="B235" s="90" t="s">
        <v>289</v>
      </c>
      <c r="C235" s="90" t="s">
        <v>396</v>
      </c>
      <c r="D235" s="90" t="s">
        <v>130</v>
      </c>
      <c r="E235" s="90">
        <v>127</v>
      </c>
      <c r="F235" s="90" t="s">
        <v>75</v>
      </c>
      <c r="G235" s="90"/>
      <c r="H235" s="90">
        <v>5000</v>
      </c>
      <c r="I235" s="90">
        <v>9300</v>
      </c>
      <c r="J235" s="90">
        <v>3600</v>
      </c>
      <c r="K235" s="90">
        <v>5000</v>
      </c>
      <c r="L235" s="90"/>
      <c r="M235" s="90"/>
      <c r="N235" s="90"/>
      <c r="O235" s="90">
        <f t="shared" si="7"/>
        <v>5000</v>
      </c>
    </row>
    <row r="236" spans="1:16" ht="24">
      <c r="A236" s="89">
        <v>234</v>
      </c>
      <c r="B236" s="89" t="s">
        <v>290</v>
      </c>
      <c r="C236" s="89" t="s">
        <v>536</v>
      </c>
      <c r="D236" s="89" t="s">
        <v>130</v>
      </c>
      <c r="E236" s="89">
        <v>128</v>
      </c>
      <c r="F236" s="89" t="s">
        <v>75</v>
      </c>
      <c r="G236" s="89"/>
      <c r="H236" s="89">
        <v>5000</v>
      </c>
      <c r="I236" s="89">
        <v>9300</v>
      </c>
      <c r="J236" s="89">
        <v>2500</v>
      </c>
      <c r="K236" s="89">
        <v>5000</v>
      </c>
      <c r="L236" s="89"/>
      <c r="M236" s="89"/>
      <c r="N236" s="89"/>
      <c r="O236" s="89">
        <f t="shared" si="7"/>
        <v>5000</v>
      </c>
    </row>
    <row r="237" spans="1:16" ht="36">
      <c r="A237" s="90">
        <v>235</v>
      </c>
      <c r="B237" s="90" t="s">
        <v>291</v>
      </c>
      <c r="C237" s="90" t="s">
        <v>397</v>
      </c>
      <c r="D237" s="90" t="s">
        <v>130</v>
      </c>
      <c r="E237" s="90">
        <v>129</v>
      </c>
      <c r="F237" s="90" t="s">
        <v>75</v>
      </c>
      <c r="G237" s="90">
        <v>9694828385</v>
      </c>
      <c r="H237" s="90">
        <v>15000</v>
      </c>
      <c r="I237" s="90">
        <v>9300</v>
      </c>
      <c r="J237" s="90">
        <v>5000</v>
      </c>
      <c r="K237" s="90">
        <v>7000</v>
      </c>
      <c r="L237" s="90"/>
      <c r="M237" s="90"/>
      <c r="N237" s="90"/>
      <c r="O237" s="90">
        <f t="shared" si="7"/>
        <v>7000</v>
      </c>
    </row>
    <row r="238" spans="1:16" ht="24">
      <c r="A238" s="90">
        <v>236</v>
      </c>
      <c r="B238" s="90" t="s">
        <v>292</v>
      </c>
      <c r="C238" s="90"/>
      <c r="D238" s="90" t="s">
        <v>130</v>
      </c>
      <c r="E238" s="90">
        <v>129</v>
      </c>
      <c r="F238" s="90" t="s">
        <v>75</v>
      </c>
      <c r="G238" s="90"/>
      <c r="H238" s="90"/>
      <c r="I238" s="90">
        <v>9300</v>
      </c>
      <c r="J238" s="90">
        <v>5000</v>
      </c>
      <c r="K238" s="90"/>
      <c r="L238" s="90"/>
      <c r="M238" s="90"/>
      <c r="N238" s="90"/>
      <c r="O238" s="90">
        <f t="shared" si="7"/>
        <v>0</v>
      </c>
    </row>
    <row r="239" spans="1:16" ht="24">
      <c r="A239" s="90">
        <v>237</v>
      </c>
      <c r="B239" s="90" t="s">
        <v>293</v>
      </c>
      <c r="C239" s="90"/>
      <c r="D239" s="90" t="s">
        <v>130</v>
      </c>
      <c r="E239" s="90">
        <v>129</v>
      </c>
      <c r="F239" s="90" t="s">
        <v>75</v>
      </c>
      <c r="G239" s="90"/>
      <c r="H239" s="90"/>
      <c r="I239" s="90">
        <v>9300</v>
      </c>
      <c r="J239" s="90">
        <v>5000</v>
      </c>
      <c r="K239" s="90"/>
      <c r="L239" s="90"/>
      <c r="M239" s="90"/>
      <c r="N239" s="90"/>
      <c r="O239" s="90"/>
    </row>
    <row r="240" spans="1:16" ht="24">
      <c r="A240" s="89">
        <v>238</v>
      </c>
      <c r="B240" s="89" t="s">
        <v>294</v>
      </c>
      <c r="C240" s="89" t="s">
        <v>398</v>
      </c>
      <c r="D240" s="89" t="s">
        <v>130</v>
      </c>
      <c r="E240" s="89">
        <v>130</v>
      </c>
      <c r="F240" s="89" t="s">
        <v>75</v>
      </c>
      <c r="G240" s="89">
        <v>9828388937</v>
      </c>
      <c r="H240" s="89">
        <v>5000</v>
      </c>
      <c r="I240" s="89">
        <v>9300</v>
      </c>
      <c r="J240" s="89">
        <v>2500</v>
      </c>
      <c r="K240" s="89">
        <v>5000</v>
      </c>
      <c r="L240" s="89"/>
      <c r="M240" s="89"/>
      <c r="N240" s="89"/>
      <c r="O240" s="89">
        <f t="shared" ref="O240:O246" si="8">K240+L240-M240</f>
        <v>5000</v>
      </c>
    </row>
    <row r="241" spans="1:15" ht="48">
      <c r="A241" s="90">
        <v>239</v>
      </c>
      <c r="B241" s="90" t="s">
        <v>295</v>
      </c>
      <c r="C241" s="90" t="s">
        <v>399</v>
      </c>
      <c r="D241" s="90" t="s">
        <v>130</v>
      </c>
      <c r="E241" s="90">
        <v>131</v>
      </c>
      <c r="F241" s="90" t="s">
        <v>75</v>
      </c>
      <c r="G241" s="90">
        <v>8504846672</v>
      </c>
      <c r="H241" s="90">
        <v>5500</v>
      </c>
      <c r="I241" s="90">
        <v>9300</v>
      </c>
      <c r="J241" s="90">
        <v>0</v>
      </c>
      <c r="K241" s="90">
        <v>0</v>
      </c>
      <c r="L241" s="90"/>
      <c r="M241" s="90"/>
      <c r="N241" s="90"/>
      <c r="O241" s="90">
        <f t="shared" si="8"/>
        <v>0</v>
      </c>
    </row>
    <row r="242" spans="1:15" ht="24">
      <c r="A242" s="89">
        <v>240</v>
      </c>
      <c r="B242" s="89" t="s">
        <v>296</v>
      </c>
      <c r="C242" s="89" t="s">
        <v>402</v>
      </c>
      <c r="D242" s="89" t="s">
        <v>130</v>
      </c>
      <c r="E242" s="89">
        <v>132</v>
      </c>
      <c r="F242" s="89" t="s">
        <v>75</v>
      </c>
      <c r="G242" s="89">
        <v>9799548961</v>
      </c>
      <c r="H242" s="89">
        <v>5000</v>
      </c>
      <c r="I242" s="89">
        <v>9300</v>
      </c>
      <c r="J242" s="89">
        <v>2500</v>
      </c>
      <c r="K242" s="89">
        <v>0</v>
      </c>
      <c r="L242" s="89"/>
      <c r="M242" s="89"/>
      <c r="N242" s="89"/>
      <c r="O242" s="89">
        <f t="shared" si="8"/>
        <v>0</v>
      </c>
    </row>
    <row r="243" spans="1:15" ht="24">
      <c r="A243" s="90">
        <v>241</v>
      </c>
      <c r="B243" s="90" t="s">
        <v>297</v>
      </c>
      <c r="C243" s="90" t="s">
        <v>537</v>
      </c>
      <c r="D243" s="90" t="s">
        <v>130</v>
      </c>
      <c r="E243" s="90">
        <v>133</v>
      </c>
      <c r="F243" s="90" t="s">
        <v>75</v>
      </c>
      <c r="G243" s="90"/>
      <c r="H243" s="90">
        <v>0</v>
      </c>
      <c r="I243" s="90">
        <v>9300</v>
      </c>
      <c r="J243" s="90">
        <v>0</v>
      </c>
      <c r="K243" s="90">
        <v>0</v>
      </c>
      <c r="L243" s="90"/>
      <c r="M243" s="90"/>
      <c r="N243" s="90"/>
      <c r="O243" s="90">
        <f t="shared" si="8"/>
        <v>0</v>
      </c>
    </row>
    <row r="244" spans="1:15" ht="24">
      <c r="A244" s="89">
        <v>242</v>
      </c>
      <c r="B244" s="89" t="s">
        <v>298</v>
      </c>
      <c r="C244" s="89" t="s">
        <v>403</v>
      </c>
      <c r="D244" s="89" t="s">
        <v>130</v>
      </c>
      <c r="E244" s="89">
        <v>134</v>
      </c>
      <c r="F244" s="89" t="s">
        <v>75</v>
      </c>
      <c r="G244" s="89">
        <v>9828965753</v>
      </c>
      <c r="H244" s="89">
        <v>3500</v>
      </c>
      <c r="I244" s="89">
        <v>9300</v>
      </c>
      <c r="J244" s="89">
        <v>0</v>
      </c>
      <c r="K244" s="89">
        <v>0</v>
      </c>
      <c r="L244" s="89"/>
      <c r="M244" s="89"/>
      <c r="N244" s="89"/>
      <c r="O244" s="89">
        <f t="shared" si="8"/>
        <v>0</v>
      </c>
    </row>
    <row r="245" spans="1:15" ht="60">
      <c r="A245" s="90">
        <v>243</v>
      </c>
      <c r="B245" s="90" t="s">
        <v>400</v>
      </c>
      <c r="C245" s="90" t="s">
        <v>401</v>
      </c>
      <c r="D245" s="90" t="s">
        <v>130</v>
      </c>
      <c r="E245" s="90">
        <v>135</v>
      </c>
      <c r="F245" s="90"/>
      <c r="G245" s="90">
        <v>9665146156</v>
      </c>
      <c r="H245" s="90">
        <v>5000</v>
      </c>
      <c r="I245" s="90">
        <v>9300</v>
      </c>
      <c r="J245" s="90">
        <v>0</v>
      </c>
      <c r="K245" s="90">
        <v>1500</v>
      </c>
      <c r="L245" s="90"/>
      <c r="M245" s="90"/>
      <c r="N245" s="90"/>
      <c r="O245" s="90">
        <f t="shared" si="8"/>
        <v>1500</v>
      </c>
    </row>
    <row r="246" spans="1:15" ht="36">
      <c r="A246" s="89">
        <v>245</v>
      </c>
      <c r="B246" s="89" t="s">
        <v>148</v>
      </c>
      <c r="C246" s="89" t="s">
        <v>538</v>
      </c>
      <c r="D246" s="89" t="s">
        <v>130</v>
      </c>
      <c r="E246" s="89">
        <v>136</v>
      </c>
      <c r="F246" s="89"/>
      <c r="G246" s="89"/>
      <c r="H246" s="89">
        <v>3000</v>
      </c>
      <c r="I246" s="89">
        <v>9300</v>
      </c>
      <c r="J246" s="89">
        <v>3000</v>
      </c>
      <c r="K246" s="89">
        <v>3000</v>
      </c>
      <c r="L246" s="89"/>
      <c r="M246" s="89"/>
      <c r="N246" s="89"/>
      <c r="O246" s="89">
        <f t="shared" si="8"/>
        <v>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P25"/>
  <sheetViews>
    <sheetView workbookViewId="0">
      <selection activeCell="N31" sqref="N31"/>
    </sheetView>
  </sheetViews>
  <sheetFormatPr defaultRowHeight="15"/>
  <cols>
    <col min="1" max="1" width="10.7109375" bestFit="1" customWidth="1"/>
    <col min="2" max="2" width="7.42578125" bestFit="1" customWidth="1"/>
    <col min="3" max="3" width="45" bestFit="1" customWidth="1"/>
    <col min="4" max="4" width="8.140625" bestFit="1" customWidth="1"/>
    <col min="5" max="5" width="5.28515625" customWidth="1"/>
    <col min="6" max="6" width="10.7109375" bestFit="1" customWidth="1"/>
    <col min="7" max="7" width="8.140625" bestFit="1" customWidth="1"/>
    <col min="8" max="8" width="10.85546875" bestFit="1" customWidth="1"/>
    <col min="10" max="10" width="8" bestFit="1" customWidth="1"/>
    <col min="11" max="11" width="4.7109375" bestFit="1" customWidth="1"/>
    <col min="12" max="12" width="5" bestFit="1" customWidth="1"/>
    <col min="13" max="13" width="6" bestFit="1" customWidth="1"/>
    <col min="14" max="14" width="4.28515625" customWidth="1"/>
    <col min="15" max="15" width="18.7109375" bestFit="1" customWidth="1"/>
    <col min="16" max="16" width="7" style="142" bestFit="1" customWidth="1"/>
  </cols>
  <sheetData>
    <row r="1" spans="1:16">
      <c r="A1" s="270" t="s">
        <v>566</v>
      </c>
      <c r="B1" s="270"/>
      <c r="C1" s="270"/>
      <c r="D1" s="270"/>
      <c r="F1" s="270" t="s">
        <v>571</v>
      </c>
      <c r="G1" s="270"/>
      <c r="H1" s="270"/>
      <c r="J1" s="287" t="s">
        <v>572</v>
      </c>
      <c r="K1" s="287"/>
      <c r="L1" s="287"/>
      <c r="M1" s="287"/>
      <c r="O1" s="287" t="s">
        <v>21</v>
      </c>
      <c r="P1" s="287"/>
    </row>
    <row r="2" spans="1:16">
      <c r="A2" s="21" t="s">
        <v>16</v>
      </c>
      <c r="B2" s="21" t="s">
        <v>542</v>
      </c>
      <c r="C2" s="21" t="s">
        <v>543</v>
      </c>
      <c r="D2" s="21" t="s">
        <v>17</v>
      </c>
      <c r="F2" s="56" t="s">
        <v>16</v>
      </c>
      <c r="G2" s="56" t="s">
        <v>17</v>
      </c>
      <c r="H2" s="56" t="s">
        <v>11</v>
      </c>
      <c r="J2" s="56" t="s">
        <v>573</v>
      </c>
      <c r="K2" s="56" t="s">
        <v>575</v>
      </c>
      <c r="L2" s="17"/>
      <c r="M2" s="17"/>
      <c r="O2" s="17" t="s">
        <v>578</v>
      </c>
      <c r="P2" s="143">
        <f>D3</f>
        <v>159159</v>
      </c>
    </row>
    <row r="3" spans="1:16">
      <c r="A3" s="17"/>
      <c r="B3" s="17"/>
      <c r="C3" s="17"/>
      <c r="D3" s="19">
        <f>SUM(D5:D25)</f>
        <v>159159</v>
      </c>
      <c r="F3" s="17"/>
      <c r="G3" s="34">
        <f>SUM(G4:G25)</f>
        <v>85104</v>
      </c>
      <c r="H3" s="17"/>
      <c r="J3" s="17"/>
      <c r="K3" s="17"/>
      <c r="L3" s="17"/>
      <c r="M3" s="19">
        <f>SUM(M4:M18)</f>
        <v>23695</v>
      </c>
      <c r="O3" s="17" t="s">
        <v>572</v>
      </c>
      <c r="P3" s="143">
        <f>M3</f>
        <v>23695</v>
      </c>
    </row>
    <row r="4" spans="1:16">
      <c r="A4" s="17" t="s">
        <v>544</v>
      </c>
      <c r="B4" s="141" t="s">
        <v>545</v>
      </c>
      <c r="C4" s="17" t="s">
        <v>546</v>
      </c>
      <c r="D4" s="17">
        <v>14154</v>
      </c>
      <c r="F4" s="20">
        <v>43896</v>
      </c>
      <c r="G4" s="17">
        <v>10000</v>
      </c>
      <c r="H4" s="17" t="s">
        <v>567</v>
      </c>
      <c r="J4" s="17">
        <v>10</v>
      </c>
      <c r="K4" s="17">
        <v>1</v>
      </c>
      <c r="L4" s="17">
        <v>480</v>
      </c>
      <c r="M4" s="17">
        <f>K4*L4</f>
        <v>480</v>
      </c>
      <c r="O4" s="17" t="s">
        <v>580</v>
      </c>
      <c r="P4" s="143">
        <f>P2-P3</f>
        <v>135464</v>
      </c>
    </row>
    <row r="5" spans="1:16">
      <c r="A5" s="17" t="s">
        <v>547</v>
      </c>
      <c r="B5" s="141" t="s">
        <v>548</v>
      </c>
      <c r="C5" s="17" t="s">
        <v>549</v>
      </c>
      <c r="D5" s="17">
        <v>87170</v>
      </c>
      <c r="F5" s="17" t="s">
        <v>539</v>
      </c>
      <c r="G5" s="17">
        <v>15000</v>
      </c>
      <c r="H5" s="17" t="s">
        <v>567</v>
      </c>
      <c r="J5" s="17">
        <v>9</v>
      </c>
      <c r="K5" s="17">
        <v>1</v>
      </c>
      <c r="L5" s="17">
        <v>1070</v>
      </c>
      <c r="M5" s="17">
        <f t="shared" ref="M5:M18" si="0">K5*L5</f>
        <v>1070</v>
      </c>
      <c r="O5" s="17" t="s">
        <v>579</v>
      </c>
      <c r="P5" s="143">
        <f>P4-P4*0.1</f>
        <v>121917.6</v>
      </c>
    </row>
    <row r="6" spans="1:16">
      <c r="A6" s="17" t="s">
        <v>550</v>
      </c>
      <c r="B6" s="141" t="s">
        <v>551</v>
      </c>
      <c r="C6" s="17" t="s">
        <v>552</v>
      </c>
      <c r="D6" s="17">
        <v>3045</v>
      </c>
      <c r="F6" s="17" t="s">
        <v>559</v>
      </c>
      <c r="G6" s="17">
        <v>25000</v>
      </c>
      <c r="H6" s="17" t="s">
        <v>567</v>
      </c>
      <c r="J6" s="17">
        <v>8</v>
      </c>
      <c r="K6" s="17">
        <v>2</v>
      </c>
      <c r="L6" s="17">
        <v>3610</v>
      </c>
      <c r="M6" s="17">
        <f t="shared" si="0"/>
        <v>7220</v>
      </c>
      <c r="O6" s="17" t="s">
        <v>581</v>
      </c>
      <c r="P6" s="143">
        <f>G3</f>
        <v>85104</v>
      </c>
    </row>
    <row r="7" spans="1:16">
      <c r="A7" s="20">
        <v>43836</v>
      </c>
      <c r="B7" s="141" t="s">
        <v>553</v>
      </c>
      <c r="C7" s="17" t="s">
        <v>554</v>
      </c>
      <c r="D7" s="17">
        <v>8910</v>
      </c>
      <c r="F7" s="17" t="s">
        <v>568</v>
      </c>
      <c r="G7" s="17">
        <v>5000</v>
      </c>
      <c r="H7" s="17" t="s">
        <v>567</v>
      </c>
      <c r="J7" s="17">
        <v>7</v>
      </c>
      <c r="K7" s="17">
        <v>1</v>
      </c>
      <c r="L7" s="17">
        <v>2693</v>
      </c>
      <c r="M7" s="17">
        <f t="shared" si="0"/>
        <v>2693</v>
      </c>
      <c r="O7" s="17" t="s">
        <v>582</v>
      </c>
      <c r="P7" s="144">
        <f>P5-P6</f>
        <v>36813.600000000006</v>
      </c>
    </row>
    <row r="8" spans="1:16">
      <c r="A8" s="17" t="s">
        <v>540</v>
      </c>
      <c r="B8" s="141" t="s">
        <v>555</v>
      </c>
      <c r="C8" s="17" t="s">
        <v>556</v>
      </c>
      <c r="D8" s="17">
        <v>15090</v>
      </c>
      <c r="F8" s="20">
        <v>44020</v>
      </c>
      <c r="G8" s="17">
        <v>6000</v>
      </c>
      <c r="H8" s="17" t="s">
        <v>567</v>
      </c>
      <c r="J8" s="17">
        <v>6</v>
      </c>
      <c r="K8" s="17">
        <v>0</v>
      </c>
      <c r="L8" s="17">
        <v>2574</v>
      </c>
      <c r="M8" s="17">
        <f t="shared" si="0"/>
        <v>0</v>
      </c>
    </row>
    <row r="9" spans="1:16">
      <c r="A9" s="20">
        <v>43868</v>
      </c>
      <c r="B9" s="141" t="s">
        <v>557</v>
      </c>
      <c r="C9" s="17" t="s">
        <v>558</v>
      </c>
      <c r="D9" s="17">
        <v>27838</v>
      </c>
      <c r="F9" s="20">
        <v>44143</v>
      </c>
      <c r="G9" s="17">
        <v>7000</v>
      </c>
      <c r="H9" s="17" t="s">
        <v>567</v>
      </c>
      <c r="J9" s="17">
        <v>5</v>
      </c>
      <c r="K9" s="17">
        <v>2</v>
      </c>
      <c r="L9" s="17">
        <v>660</v>
      </c>
      <c r="M9" s="17">
        <f t="shared" si="0"/>
        <v>1320</v>
      </c>
    </row>
    <row r="10" spans="1:16">
      <c r="A10" s="17" t="s">
        <v>559</v>
      </c>
      <c r="B10" s="141" t="s">
        <v>560</v>
      </c>
      <c r="C10" s="17" t="s">
        <v>561</v>
      </c>
      <c r="D10" s="17">
        <v>6658</v>
      </c>
      <c r="F10" s="17"/>
      <c r="G10" s="17">
        <v>14154</v>
      </c>
      <c r="H10" s="17" t="s">
        <v>569</v>
      </c>
      <c r="J10" s="17">
        <v>4</v>
      </c>
      <c r="K10" s="17">
        <v>0</v>
      </c>
      <c r="L10" s="17">
        <v>2214</v>
      </c>
      <c r="M10" s="17">
        <f t="shared" si="0"/>
        <v>0</v>
      </c>
    </row>
    <row r="11" spans="1:16">
      <c r="A11" s="20">
        <v>44020</v>
      </c>
      <c r="B11" s="141" t="s">
        <v>562</v>
      </c>
      <c r="C11" s="17" t="s">
        <v>563</v>
      </c>
      <c r="D11" s="17">
        <v>4370</v>
      </c>
      <c r="F11" s="17" t="s">
        <v>550</v>
      </c>
      <c r="G11" s="17">
        <v>1700</v>
      </c>
      <c r="H11" s="17" t="s">
        <v>570</v>
      </c>
      <c r="J11" s="17">
        <v>3</v>
      </c>
      <c r="K11" s="17">
        <v>1</v>
      </c>
      <c r="L11" s="17">
        <v>2102</v>
      </c>
      <c r="M11" s="17">
        <f t="shared" si="0"/>
        <v>2102</v>
      </c>
    </row>
    <row r="12" spans="1:16">
      <c r="A12" s="20">
        <v>44143</v>
      </c>
      <c r="B12" s="141" t="s">
        <v>564</v>
      </c>
      <c r="C12" s="17" t="s">
        <v>565</v>
      </c>
      <c r="D12" s="17">
        <v>6078</v>
      </c>
      <c r="F12" s="17" t="s">
        <v>550</v>
      </c>
      <c r="G12" s="17">
        <v>1250</v>
      </c>
      <c r="H12" s="17" t="s">
        <v>570</v>
      </c>
      <c r="J12" s="17">
        <v>2</v>
      </c>
      <c r="K12" s="17">
        <v>2</v>
      </c>
      <c r="L12" s="17">
        <v>1830</v>
      </c>
      <c r="M12" s="17">
        <f t="shared" si="0"/>
        <v>3660</v>
      </c>
    </row>
    <row r="13" spans="1:16">
      <c r="A13" s="17"/>
      <c r="B13" s="17"/>
      <c r="C13" s="17"/>
      <c r="D13" s="17"/>
      <c r="F13" s="17"/>
      <c r="G13" s="17"/>
      <c r="H13" s="17"/>
      <c r="J13" s="17">
        <v>1</v>
      </c>
      <c r="K13" s="17">
        <v>0</v>
      </c>
      <c r="L13" s="17">
        <v>1650</v>
      </c>
      <c r="M13" s="17">
        <f t="shared" si="0"/>
        <v>0</v>
      </c>
    </row>
    <row r="14" spans="1:16">
      <c r="A14" s="17"/>
      <c r="B14" s="17"/>
      <c r="C14" s="17"/>
      <c r="D14" s="17"/>
      <c r="F14" s="17"/>
      <c r="G14" s="17"/>
      <c r="H14" s="17"/>
      <c r="J14" s="17" t="s">
        <v>102</v>
      </c>
      <c r="K14" s="17">
        <v>1</v>
      </c>
      <c r="L14" s="17">
        <v>675</v>
      </c>
      <c r="M14" s="17">
        <f t="shared" si="0"/>
        <v>675</v>
      </c>
    </row>
    <row r="15" spans="1:16">
      <c r="A15" s="17"/>
      <c r="B15" s="17"/>
      <c r="C15" s="17"/>
      <c r="D15" s="17"/>
      <c r="F15" s="17"/>
      <c r="G15" s="17"/>
      <c r="H15" s="17"/>
      <c r="J15" s="17" t="s">
        <v>130</v>
      </c>
      <c r="K15" s="17">
        <v>2</v>
      </c>
      <c r="L15" s="17">
        <v>675</v>
      </c>
      <c r="M15" s="17">
        <f t="shared" si="0"/>
        <v>1350</v>
      </c>
    </row>
    <row r="16" spans="1:16">
      <c r="A16" s="17"/>
      <c r="B16" s="17"/>
      <c r="C16" s="17"/>
      <c r="D16" s="17"/>
      <c r="F16" s="17"/>
      <c r="G16" s="17"/>
      <c r="H16" s="17"/>
      <c r="J16" s="17" t="s">
        <v>574</v>
      </c>
      <c r="K16" s="17">
        <v>5</v>
      </c>
      <c r="L16" s="17">
        <v>625</v>
      </c>
      <c r="M16" s="17">
        <f t="shared" si="0"/>
        <v>3125</v>
      </c>
    </row>
    <row r="17" spans="1:13">
      <c r="A17" s="17"/>
      <c r="B17" s="17"/>
      <c r="C17" s="17"/>
      <c r="D17" s="17"/>
      <c r="F17" s="17"/>
      <c r="G17" s="17"/>
      <c r="H17" s="17"/>
      <c r="J17" s="17" t="s">
        <v>576</v>
      </c>
      <c r="K17" s="17">
        <v>0</v>
      </c>
      <c r="L17" s="17">
        <v>0</v>
      </c>
      <c r="M17" s="17">
        <f t="shared" si="0"/>
        <v>0</v>
      </c>
    </row>
    <row r="18" spans="1:13">
      <c r="A18" s="17"/>
      <c r="B18" s="17"/>
      <c r="C18" s="17"/>
      <c r="D18" s="17"/>
      <c r="F18" s="17"/>
      <c r="G18" s="17"/>
      <c r="H18" s="17"/>
      <c r="J18" s="17" t="s">
        <v>577</v>
      </c>
      <c r="K18" s="17">
        <v>0</v>
      </c>
      <c r="L18" s="17">
        <v>0</v>
      </c>
      <c r="M18" s="17">
        <f t="shared" si="0"/>
        <v>0</v>
      </c>
    </row>
    <row r="19" spans="1:13">
      <c r="A19" s="17"/>
      <c r="B19" s="17"/>
      <c r="C19" s="17"/>
      <c r="D19" s="17"/>
      <c r="F19" s="17"/>
      <c r="G19" s="17"/>
      <c r="H19" s="17"/>
    </row>
    <row r="20" spans="1:13">
      <c r="A20" s="17"/>
      <c r="B20" s="17"/>
      <c r="C20" s="17"/>
      <c r="D20" s="17"/>
      <c r="F20" s="17"/>
      <c r="G20" s="17"/>
      <c r="H20" s="17"/>
    </row>
    <row r="21" spans="1:13">
      <c r="A21" s="17"/>
      <c r="B21" s="17"/>
      <c r="C21" s="17"/>
      <c r="D21" s="17"/>
      <c r="F21" s="17"/>
      <c r="G21" s="17"/>
      <c r="H21" s="17"/>
    </row>
    <row r="22" spans="1:13">
      <c r="A22" s="17"/>
      <c r="B22" s="17"/>
      <c r="C22" s="17"/>
      <c r="D22" s="17"/>
      <c r="F22" s="17"/>
      <c r="G22" s="17"/>
      <c r="H22" s="17"/>
    </row>
    <row r="23" spans="1:13">
      <c r="A23" s="17"/>
      <c r="B23" s="17"/>
      <c r="C23" s="17"/>
      <c r="D23" s="17"/>
      <c r="F23" s="17"/>
      <c r="G23" s="17"/>
      <c r="H23" s="17"/>
    </row>
    <row r="24" spans="1:13">
      <c r="A24" s="17"/>
      <c r="B24" s="17"/>
      <c r="C24" s="17"/>
      <c r="D24" s="17"/>
      <c r="F24" s="17"/>
      <c r="G24" s="17"/>
      <c r="H24" s="17"/>
    </row>
    <row r="25" spans="1:13">
      <c r="A25" s="17"/>
      <c r="B25" s="17"/>
      <c r="C25" s="17"/>
      <c r="D25" s="17"/>
      <c r="F25" s="17"/>
      <c r="G25" s="17"/>
      <c r="H25" s="17"/>
    </row>
  </sheetData>
  <mergeCells count="4">
    <mergeCell ref="A1:D1"/>
    <mergeCell ref="F1:H1"/>
    <mergeCell ref="J1:M1"/>
    <mergeCell ref="O1:P1"/>
  </mergeCells>
  <pageMargins left="0.7" right="0.7" top="0.75" bottom="0.75" header="0.3" footer="0.3"/>
  <pageSetup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R72"/>
  <sheetViews>
    <sheetView workbookViewId="0">
      <selection activeCell="E24" sqref="E24"/>
    </sheetView>
  </sheetViews>
  <sheetFormatPr defaultColWidth="8.7109375" defaultRowHeight="15"/>
  <cols>
    <col min="1" max="1" width="11.42578125" style="78" customWidth="1"/>
    <col min="2" max="2" width="8.42578125" style="1" customWidth="1"/>
    <col min="3" max="3" width="8.5703125" style="1" bestFit="1" customWidth="1"/>
    <col min="4" max="4" width="0.7109375" style="1" customWidth="1"/>
    <col min="5" max="5" width="24.28515625" style="78" customWidth="1"/>
    <col min="6" max="6" width="7.5703125" style="1" bestFit="1" customWidth="1"/>
    <col min="7" max="7" width="21.140625" style="1" customWidth="1"/>
    <col min="8" max="8" width="1.140625" style="1" customWidth="1"/>
    <col min="9" max="10" width="8.7109375" style="1"/>
    <col min="11" max="11" width="15.5703125" style="1" customWidth="1"/>
    <col min="12" max="16384" width="8.7109375" style="1"/>
  </cols>
  <sheetData>
    <row r="1" spans="1:18" ht="21.95" customHeight="1">
      <c r="A1" s="289" t="s">
        <v>477</v>
      </c>
      <c r="B1" s="289"/>
      <c r="C1" s="289"/>
      <c r="D1" s="289"/>
      <c r="E1" s="289"/>
      <c r="F1" s="289"/>
      <c r="G1" s="289"/>
      <c r="H1" s="289"/>
      <c r="L1" s="1">
        <v>53000</v>
      </c>
      <c r="M1" s="118" t="s">
        <v>476</v>
      </c>
    </row>
    <row r="2" spans="1:18">
      <c r="A2" s="288" t="s">
        <v>450</v>
      </c>
      <c r="B2" s="288"/>
      <c r="C2" s="288"/>
      <c r="D2" s="70"/>
      <c r="E2" s="288" t="s">
        <v>451</v>
      </c>
      <c r="F2" s="288"/>
      <c r="G2" s="288"/>
      <c r="H2" s="79"/>
    </row>
    <row r="3" spans="1:18" ht="30">
      <c r="A3" s="69" t="s">
        <v>31</v>
      </c>
      <c r="B3" s="71">
        <f>SUM(B5:B47)</f>
        <v>214700</v>
      </c>
      <c r="C3" s="72">
        <f>B3+J4</f>
        <v>214700</v>
      </c>
      <c r="D3" s="70"/>
      <c r="E3" s="69" t="s">
        <v>43</v>
      </c>
      <c r="F3" s="72" t="s">
        <v>17</v>
      </c>
      <c r="G3" s="72" t="s">
        <v>11</v>
      </c>
      <c r="H3" s="79"/>
    </row>
    <row r="4" spans="1:18" ht="30">
      <c r="A4" s="69" t="s">
        <v>16</v>
      </c>
      <c r="B4" s="72" t="s">
        <v>17</v>
      </c>
      <c r="C4" s="72" t="s">
        <v>11</v>
      </c>
      <c r="D4" s="70"/>
      <c r="E4" s="73" t="s">
        <v>436</v>
      </c>
      <c r="F4" s="115">
        <f>B49 - B49*0.1</f>
        <v>258785.1</v>
      </c>
      <c r="G4" s="44" t="s">
        <v>435</v>
      </c>
      <c r="H4" s="79"/>
      <c r="L4" s="1" t="s">
        <v>479</v>
      </c>
      <c r="P4" s="1" t="s">
        <v>480</v>
      </c>
    </row>
    <row r="5" spans="1:18">
      <c r="A5" s="73">
        <v>43712</v>
      </c>
      <c r="B5" s="44">
        <v>5000</v>
      </c>
      <c r="C5" s="44"/>
      <c r="D5" s="70"/>
      <c r="E5" s="73" t="s">
        <v>437</v>
      </c>
      <c r="F5" s="44">
        <f>F49</f>
        <v>84708</v>
      </c>
      <c r="G5" s="44"/>
      <c r="H5" s="79"/>
      <c r="N5" s="117">
        <f>SUM(N6:N20)</f>
        <v>27780</v>
      </c>
      <c r="R5" s="117">
        <f>SUM(R6:R34)</f>
        <v>31729</v>
      </c>
    </row>
    <row r="6" spans="1:18" ht="30">
      <c r="A6" s="73" t="s">
        <v>426</v>
      </c>
      <c r="B6" s="44">
        <v>20000</v>
      </c>
      <c r="C6" s="44"/>
      <c r="D6" s="70"/>
      <c r="E6" s="73" t="s">
        <v>478</v>
      </c>
      <c r="F6" s="71">
        <v>0</v>
      </c>
      <c r="G6" s="44" t="s">
        <v>488</v>
      </c>
      <c r="H6" s="79"/>
      <c r="L6" s="1">
        <v>250</v>
      </c>
      <c r="M6" s="1">
        <v>3</v>
      </c>
      <c r="N6" s="1">
        <f>L6*M6</f>
        <v>750</v>
      </c>
      <c r="P6" s="1">
        <v>280</v>
      </c>
      <c r="Q6" s="1">
        <v>5</v>
      </c>
      <c r="R6" s="1">
        <f>P6*Q6</f>
        <v>1400</v>
      </c>
    </row>
    <row r="7" spans="1:18">
      <c r="A7" s="73" t="s">
        <v>427</v>
      </c>
      <c r="B7" s="44">
        <v>2000</v>
      </c>
      <c r="C7" s="44"/>
      <c r="D7" s="70"/>
      <c r="E7" s="73" t="s">
        <v>481</v>
      </c>
      <c r="F7" s="71">
        <v>0</v>
      </c>
      <c r="G7" s="44">
        <v>31729</v>
      </c>
      <c r="H7" s="79"/>
      <c r="L7" s="1">
        <v>300</v>
      </c>
      <c r="M7" s="1">
        <v>20</v>
      </c>
      <c r="N7" s="1">
        <f t="shared" ref="N7:N20" si="0">L7*M7</f>
        <v>6000</v>
      </c>
      <c r="P7" s="1">
        <v>290</v>
      </c>
      <c r="Q7" s="1">
        <v>9</v>
      </c>
      <c r="R7" s="1">
        <f t="shared" ref="R7:R34" si="1">P7*Q7</f>
        <v>2610</v>
      </c>
    </row>
    <row r="8" spans="1:18">
      <c r="A8" s="73" t="s">
        <v>59</v>
      </c>
      <c r="B8" s="44">
        <v>3800</v>
      </c>
      <c r="C8" s="44"/>
      <c r="D8" s="70"/>
      <c r="H8" s="79"/>
      <c r="L8" s="1">
        <v>320</v>
      </c>
      <c r="M8" s="1">
        <v>1</v>
      </c>
      <c r="N8" s="1">
        <f t="shared" si="0"/>
        <v>320</v>
      </c>
      <c r="P8" s="1">
        <v>300</v>
      </c>
      <c r="Q8" s="1">
        <v>1</v>
      </c>
      <c r="R8" s="1">
        <f t="shared" si="1"/>
        <v>300</v>
      </c>
    </row>
    <row r="9" spans="1:18">
      <c r="A9" s="73" t="s">
        <v>417</v>
      </c>
      <c r="B9" s="44">
        <v>22000</v>
      </c>
      <c r="C9" s="44"/>
      <c r="D9" s="70"/>
      <c r="H9" s="79"/>
      <c r="L9" s="1">
        <v>300</v>
      </c>
      <c r="M9" s="1">
        <v>11</v>
      </c>
      <c r="N9" s="1">
        <f t="shared" si="0"/>
        <v>3300</v>
      </c>
      <c r="P9" s="1">
        <v>330</v>
      </c>
      <c r="Q9" s="1">
        <v>3</v>
      </c>
      <c r="R9" s="1">
        <f t="shared" si="1"/>
        <v>990</v>
      </c>
    </row>
    <row r="10" spans="1:18">
      <c r="A10" s="73">
        <v>43592</v>
      </c>
      <c r="B10" s="76">
        <v>15000</v>
      </c>
      <c r="C10" s="44"/>
      <c r="D10" s="70"/>
      <c r="E10" s="74" t="s">
        <v>441</v>
      </c>
      <c r="F10" s="75">
        <f>SUM(F4:F7)</f>
        <v>343493.1</v>
      </c>
      <c r="G10" s="44"/>
      <c r="H10" s="79"/>
      <c r="L10" s="1">
        <v>400</v>
      </c>
      <c r="M10" s="1">
        <v>15</v>
      </c>
      <c r="N10" s="1">
        <f t="shared" si="0"/>
        <v>6000</v>
      </c>
      <c r="P10" s="1">
        <v>320</v>
      </c>
      <c r="Q10" s="1">
        <v>7</v>
      </c>
      <c r="R10" s="1">
        <f t="shared" si="1"/>
        <v>2240</v>
      </c>
    </row>
    <row r="11" spans="1:18" ht="30">
      <c r="A11" s="73">
        <v>43776</v>
      </c>
      <c r="B11" s="44">
        <v>10000</v>
      </c>
      <c r="C11" s="44"/>
      <c r="D11" s="70"/>
      <c r="E11" s="73" t="s">
        <v>474</v>
      </c>
      <c r="F11" s="44"/>
      <c r="G11" s="44" t="s">
        <v>487</v>
      </c>
      <c r="H11" s="79"/>
      <c r="L11" s="1">
        <v>270</v>
      </c>
      <c r="M11" s="1">
        <v>3</v>
      </c>
      <c r="N11" s="1">
        <f t="shared" si="0"/>
        <v>810</v>
      </c>
      <c r="P11" s="1">
        <v>400</v>
      </c>
      <c r="Q11" s="1">
        <v>4</v>
      </c>
      <c r="R11" s="1">
        <f t="shared" si="1"/>
        <v>1600</v>
      </c>
    </row>
    <row r="12" spans="1:18">
      <c r="A12" s="73" t="s">
        <v>428</v>
      </c>
      <c r="B12" s="44">
        <v>2000</v>
      </c>
      <c r="C12" s="44"/>
      <c r="D12" s="70"/>
      <c r="E12" s="73" t="s">
        <v>438</v>
      </c>
      <c r="F12" s="44">
        <f>B3</f>
        <v>214700</v>
      </c>
      <c r="G12" s="44"/>
      <c r="H12" s="79"/>
      <c r="L12" s="1">
        <v>430</v>
      </c>
      <c r="M12" s="1">
        <v>1</v>
      </c>
      <c r="N12" s="1">
        <f t="shared" si="0"/>
        <v>430</v>
      </c>
      <c r="P12" s="1">
        <v>430</v>
      </c>
      <c r="Q12" s="1">
        <v>2</v>
      </c>
      <c r="R12" s="1">
        <f t="shared" si="1"/>
        <v>860</v>
      </c>
    </row>
    <row r="13" spans="1:18">
      <c r="A13" s="73" t="s">
        <v>410</v>
      </c>
      <c r="B13" s="44">
        <v>2100</v>
      </c>
      <c r="C13" s="44"/>
      <c r="D13" s="70"/>
      <c r="E13" s="73" t="s">
        <v>439</v>
      </c>
      <c r="F13" s="44">
        <v>16640</v>
      </c>
      <c r="G13" s="44" t="s">
        <v>485</v>
      </c>
      <c r="H13" s="79"/>
      <c r="L13" s="1">
        <v>300</v>
      </c>
      <c r="M13" s="1">
        <v>6</v>
      </c>
      <c r="N13" s="1">
        <f t="shared" si="0"/>
        <v>1800</v>
      </c>
      <c r="P13" s="1">
        <v>300</v>
      </c>
      <c r="Q13" s="1">
        <v>2</v>
      </c>
      <c r="R13" s="1">
        <f t="shared" si="1"/>
        <v>600</v>
      </c>
    </row>
    <row r="14" spans="1:18">
      <c r="A14" s="73" t="s">
        <v>410</v>
      </c>
      <c r="B14" s="44">
        <v>12000</v>
      </c>
      <c r="C14" s="44"/>
      <c r="D14" s="70"/>
      <c r="E14" s="118" t="s">
        <v>486</v>
      </c>
      <c r="F14" s="44">
        <v>49500</v>
      </c>
      <c r="G14" s="44" t="s">
        <v>485</v>
      </c>
      <c r="H14" s="79"/>
      <c r="L14" s="1">
        <v>320</v>
      </c>
      <c r="M14" s="1">
        <v>1</v>
      </c>
      <c r="N14" s="1">
        <f t="shared" si="0"/>
        <v>320</v>
      </c>
      <c r="P14" s="1">
        <v>420</v>
      </c>
      <c r="Q14" s="1">
        <v>1</v>
      </c>
      <c r="R14" s="1">
        <f t="shared" si="1"/>
        <v>420</v>
      </c>
    </row>
    <row r="15" spans="1:18">
      <c r="A15" s="73" t="s">
        <v>429</v>
      </c>
      <c r="B15" s="44">
        <v>8000</v>
      </c>
      <c r="C15" s="44"/>
      <c r="D15" s="70"/>
      <c r="E15" s="73" t="s">
        <v>489</v>
      </c>
      <c r="F15" s="44">
        <v>3210</v>
      </c>
      <c r="G15" s="44" t="s">
        <v>490</v>
      </c>
      <c r="H15" s="79"/>
      <c r="L15" s="1">
        <v>400</v>
      </c>
      <c r="M15" s="1">
        <v>6</v>
      </c>
      <c r="N15" s="1">
        <f t="shared" si="0"/>
        <v>2400</v>
      </c>
      <c r="P15" s="1">
        <v>367</v>
      </c>
      <c r="Q15" s="1">
        <v>8</v>
      </c>
      <c r="R15" s="1">
        <f t="shared" si="1"/>
        <v>2936</v>
      </c>
    </row>
    <row r="16" spans="1:18">
      <c r="A16" s="73">
        <v>43654</v>
      </c>
      <c r="B16" s="44">
        <v>11000</v>
      </c>
      <c r="C16" s="44"/>
      <c r="D16" s="70"/>
      <c r="E16" s="73" t="s">
        <v>491</v>
      </c>
      <c r="F16" s="44">
        <v>31618</v>
      </c>
      <c r="G16" s="44" t="s">
        <v>490</v>
      </c>
      <c r="H16" s="79"/>
      <c r="I16" s="118" t="s">
        <v>475</v>
      </c>
      <c r="L16" s="1">
        <v>300</v>
      </c>
      <c r="M16" s="1">
        <v>9</v>
      </c>
      <c r="N16" s="1">
        <f t="shared" si="0"/>
        <v>2700</v>
      </c>
      <c r="P16" s="1">
        <v>412</v>
      </c>
      <c r="Q16" s="1">
        <v>4</v>
      </c>
      <c r="R16" s="1">
        <f t="shared" si="1"/>
        <v>1648</v>
      </c>
    </row>
    <row r="17" spans="1:18">
      <c r="A17" s="73">
        <v>43746</v>
      </c>
      <c r="B17" s="44">
        <v>2000</v>
      </c>
      <c r="C17" s="44"/>
      <c r="D17" s="70"/>
      <c r="E17" s="73"/>
      <c r="F17" s="44"/>
      <c r="G17" s="44"/>
      <c r="H17" s="79"/>
      <c r="L17" s="1">
        <v>300</v>
      </c>
      <c r="M17" s="1">
        <v>4</v>
      </c>
      <c r="N17" s="1">
        <f t="shared" si="0"/>
        <v>1200</v>
      </c>
      <c r="P17" s="1">
        <v>423</v>
      </c>
      <c r="Q17" s="1">
        <v>1</v>
      </c>
      <c r="R17" s="1">
        <f t="shared" si="1"/>
        <v>423</v>
      </c>
    </row>
    <row r="18" spans="1:18">
      <c r="A18" s="73" t="s">
        <v>404</v>
      </c>
      <c r="B18" s="44">
        <v>10000</v>
      </c>
      <c r="C18" s="44"/>
      <c r="D18" s="70"/>
      <c r="E18" s="73"/>
      <c r="F18" s="44"/>
      <c r="G18" s="44"/>
      <c r="H18" s="79"/>
      <c r="L18" s="1">
        <v>300</v>
      </c>
      <c r="M18" s="1">
        <v>1</v>
      </c>
      <c r="N18" s="1">
        <f t="shared" si="0"/>
        <v>300</v>
      </c>
      <c r="P18" s="1">
        <v>412</v>
      </c>
      <c r="Q18" s="1">
        <v>1</v>
      </c>
      <c r="R18" s="1">
        <f t="shared" si="1"/>
        <v>412</v>
      </c>
    </row>
    <row r="19" spans="1:18">
      <c r="A19" s="73">
        <v>43533</v>
      </c>
      <c r="B19" s="44">
        <v>3500</v>
      </c>
      <c r="C19" s="44"/>
      <c r="D19" s="70"/>
      <c r="E19" s="73" t="s">
        <v>482</v>
      </c>
      <c r="F19" s="44"/>
      <c r="G19" s="44"/>
      <c r="H19" s="79"/>
      <c r="L19" s="1">
        <v>1450</v>
      </c>
      <c r="M19" s="1">
        <v>1</v>
      </c>
      <c r="N19" s="1">
        <f t="shared" si="0"/>
        <v>1450</v>
      </c>
      <c r="P19" s="1">
        <v>434</v>
      </c>
      <c r="Q19" s="1">
        <v>3</v>
      </c>
      <c r="R19" s="1">
        <f t="shared" si="1"/>
        <v>1302</v>
      </c>
    </row>
    <row r="20" spans="1:18">
      <c r="A20" s="73">
        <v>43717</v>
      </c>
      <c r="B20" s="44">
        <v>10000</v>
      </c>
      <c r="C20" s="44"/>
      <c r="D20" s="70"/>
      <c r="E20" s="74" t="s">
        <v>442</v>
      </c>
      <c r="F20" s="71">
        <f>SUM(F11:F19)</f>
        <v>315668</v>
      </c>
      <c r="G20" s="44"/>
      <c r="H20" s="79"/>
      <c r="L20" s="1">
        <v>0</v>
      </c>
      <c r="M20" s="1">
        <v>0</v>
      </c>
      <c r="N20" s="1">
        <f t="shared" si="0"/>
        <v>0</v>
      </c>
      <c r="P20" s="1">
        <v>400</v>
      </c>
      <c r="Q20" s="1">
        <v>1</v>
      </c>
      <c r="R20" s="1">
        <f t="shared" si="1"/>
        <v>400</v>
      </c>
    </row>
    <row r="21" spans="1:18">
      <c r="A21" s="73" t="s">
        <v>405</v>
      </c>
      <c r="B21" s="44">
        <v>5000</v>
      </c>
      <c r="C21" s="44"/>
      <c r="D21" s="70"/>
      <c r="E21" s="73"/>
      <c r="F21" s="44"/>
      <c r="G21" s="44"/>
      <c r="H21" s="79"/>
      <c r="P21" s="1">
        <v>423</v>
      </c>
      <c r="Q21" s="1">
        <v>3</v>
      </c>
      <c r="R21" s="1">
        <f t="shared" si="1"/>
        <v>1269</v>
      </c>
    </row>
    <row r="22" spans="1:18" ht="30">
      <c r="A22" s="73" t="s">
        <v>407</v>
      </c>
      <c r="B22" s="44">
        <v>5000</v>
      </c>
      <c r="C22" s="44"/>
      <c r="D22" s="70"/>
      <c r="E22" s="74" t="s">
        <v>440</v>
      </c>
      <c r="F22" s="68">
        <f>F10-F20</f>
        <v>27825.099999999977</v>
      </c>
      <c r="G22" s="44" t="s">
        <v>492</v>
      </c>
      <c r="H22" s="79"/>
      <c r="P22" s="1">
        <v>423</v>
      </c>
      <c r="Q22" s="1">
        <v>3</v>
      </c>
      <c r="R22" s="1">
        <f t="shared" si="1"/>
        <v>1269</v>
      </c>
    </row>
    <row r="23" spans="1:18">
      <c r="A23" s="73" t="s">
        <v>430</v>
      </c>
      <c r="B23" s="44">
        <v>3300</v>
      </c>
      <c r="C23" s="44"/>
      <c r="D23" s="70"/>
      <c r="E23" s="73"/>
      <c r="F23" s="44"/>
      <c r="G23" s="44"/>
      <c r="H23" s="79"/>
      <c r="P23" s="1">
        <v>434</v>
      </c>
      <c r="Q23" s="1">
        <v>1</v>
      </c>
      <c r="R23" s="1">
        <f t="shared" si="1"/>
        <v>434</v>
      </c>
    </row>
    <row r="24" spans="1:18">
      <c r="A24" s="73" t="s">
        <v>408</v>
      </c>
      <c r="B24" s="44">
        <v>7500</v>
      </c>
      <c r="C24" s="44"/>
      <c r="D24" s="70"/>
      <c r="E24" s="73"/>
      <c r="F24" s="44"/>
      <c r="G24" s="44"/>
      <c r="H24" s="79"/>
      <c r="P24" s="1">
        <v>322</v>
      </c>
      <c r="Q24" s="1">
        <v>1</v>
      </c>
      <c r="R24" s="1">
        <f t="shared" si="1"/>
        <v>322</v>
      </c>
    </row>
    <row r="25" spans="1:18" ht="30">
      <c r="A25" s="73">
        <v>43718</v>
      </c>
      <c r="B25" s="44">
        <v>8000</v>
      </c>
      <c r="C25" s="44"/>
      <c r="D25" s="70"/>
      <c r="E25" s="73" t="s">
        <v>493</v>
      </c>
      <c r="F25" s="1">
        <v>58000</v>
      </c>
      <c r="G25" s="44"/>
      <c r="H25" s="79"/>
      <c r="P25" s="1">
        <v>406</v>
      </c>
      <c r="Q25" s="1">
        <v>1</v>
      </c>
      <c r="R25" s="1">
        <f t="shared" si="1"/>
        <v>406</v>
      </c>
    </row>
    <row r="26" spans="1:18" ht="30">
      <c r="A26" s="73" t="s">
        <v>431</v>
      </c>
      <c r="B26" s="44">
        <v>1400</v>
      </c>
      <c r="C26" s="44"/>
      <c r="D26" s="70"/>
      <c r="E26" s="73" t="s">
        <v>494</v>
      </c>
      <c r="F26" s="117">
        <v>29370</v>
      </c>
      <c r="G26" s="44"/>
      <c r="H26" s="79"/>
      <c r="P26" s="1">
        <v>294</v>
      </c>
      <c r="Q26" s="1">
        <v>4</v>
      </c>
      <c r="R26" s="1">
        <f t="shared" si="1"/>
        <v>1176</v>
      </c>
    </row>
    <row r="27" spans="1:18">
      <c r="A27" s="73" t="s">
        <v>406</v>
      </c>
      <c r="B27" s="44">
        <v>6000</v>
      </c>
      <c r="C27" s="44"/>
      <c r="D27" s="70"/>
      <c r="E27" s="73" t="s">
        <v>495</v>
      </c>
      <c r="F27" s="44">
        <f>F25-F26</f>
        <v>28630</v>
      </c>
      <c r="G27" s="44"/>
      <c r="H27" s="79"/>
      <c r="P27" s="1">
        <v>316</v>
      </c>
      <c r="Q27" s="1">
        <v>1</v>
      </c>
      <c r="R27" s="1">
        <f t="shared" si="1"/>
        <v>316</v>
      </c>
    </row>
    <row r="28" spans="1:18">
      <c r="A28" s="73">
        <v>43596</v>
      </c>
      <c r="B28" s="44">
        <v>10000</v>
      </c>
      <c r="C28" s="44"/>
      <c r="D28" s="70"/>
      <c r="E28" s="73"/>
      <c r="F28" s="44"/>
      <c r="G28" s="44"/>
      <c r="H28" s="79"/>
      <c r="P28" s="1">
        <v>305</v>
      </c>
      <c r="Q28" s="1">
        <v>2</v>
      </c>
      <c r="R28" s="1">
        <f t="shared" si="1"/>
        <v>610</v>
      </c>
    </row>
    <row r="29" spans="1:18">
      <c r="A29" s="73" t="s">
        <v>471</v>
      </c>
      <c r="B29" s="44">
        <v>7500</v>
      </c>
      <c r="C29" s="44"/>
      <c r="D29" s="70"/>
      <c r="E29" s="73" t="s">
        <v>496</v>
      </c>
      <c r="F29" s="68">
        <f>F22+F26</f>
        <v>57195.099999999977</v>
      </c>
      <c r="G29" s="44"/>
      <c r="H29" s="79"/>
      <c r="P29" s="1">
        <v>339</v>
      </c>
      <c r="Q29" s="1">
        <v>2</v>
      </c>
      <c r="R29" s="1">
        <f t="shared" si="1"/>
        <v>678</v>
      </c>
    </row>
    <row r="30" spans="1:18">
      <c r="A30" s="73" t="s">
        <v>472</v>
      </c>
      <c r="B30" s="44">
        <v>3000</v>
      </c>
      <c r="C30" s="44"/>
      <c r="D30" s="70"/>
      <c r="E30" s="73"/>
      <c r="F30" s="44"/>
      <c r="G30" s="44"/>
      <c r="H30" s="79"/>
      <c r="P30" s="1">
        <v>339</v>
      </c>
      <c r="Q30" s="1">
        <v>1</v>
      </c>
      <c r="R30" s="1">
        <f t="shared" si="1"/>
        <v>339</v>
      </c>
    </row>
    <row r="31" spans="1:18">
      <c r="A31" s="73" t="s">
        <v>468</v>
      </c>
      <c r="B31" s="44">
        <v>4000</v>
      </c>
      <c r="C31" s="44"/>
      <c r="D31" s="70"/>
      <c r="E31" s="73"/>
      <c r="F31" s="44"/>
      <c r="G31" s="44"/>
      <c r="H31" s="79"/>
      <c r="P31" s="1">
        <v>356</v>
      </c>
      <c r="Q31" s="1">
        <v>4</v>
      </c>
      <c r="R31" s="1">
        <f t="shared" si="1"/>
        <v>1424</v>
      </c>
    </row>
    <row r="32" spans="1:18">
      <c r="A32" s="73">
        <v>43567</v>
      </c>
      <c r="B32" s="44">
        <v>5000</v>
      </c>
      <c r="C32" s="44"/>
      <c r="D32" s="70"/>
      <c r="E32" s="73"/>
      <c r="F32" s="44"/>
      <c r="G32" s="44"/>
      <c r="H32" s="79"/>
      <c r="P32" s="1">
        <v>389</v>
      </c>
      <c r="Q32" s="1">
        <v>5</v>
      </c>
      <c r="R32" s="1">
        <f t="shared" si="1"/>
        <v>1945</v>
      </c>
    </row>
    <row r="33" spans="1:18">
      <c r="A33" s="73">
        <v>43658</v>
      </c>
      <c r="B33" s="44">
        <v>5000</v>
      </c>
      <c r="C33" s="44"/>
      <c r="D33" s="70"/>
      <c r="E33" s="73"/>
      <c r="F33" s="44"/>
      <c r="G33" s="44"/>
      <c r="H33" s="79"/>
      <c r="P33" s="1">
        <v>400</v>
      </c>
      <c r="Q33" s="1">
        <v>5</v>
      </c>
      <c r="R33" s="1">
        <f t="shared" si="1"/>
        <v>2000</v>
      </c>
    </row>
    <row r="34" spans="1:18">
      <c r="A34" s="73" t="s">
        <v>469</v>
      </c>
      <c r="B34" s="44">
        <v>2500</v>
      </c>
      <c r="C34" s="44"/>
      <c r="D34" s="70"/>
      <c r="E34" s="73"/>
      <c r="F34" s="44"/>
      <c r="G34" s="44"/>
      <c r="H34" s="79"/>
      <c r="P34" s="1">
        <v>350</v>
      </c>
      <c r="Q34" s="1">
        <v>4</v>
      </c>
      <c r="R34" s="1">
        <f t="shared" si="1"/>
        <v>1400</v>
      </c>
    </row>
    <row r="35" spans="1:18" s="83" customFormat="1">
      <c r="A35" s="125" t="s">
        <v>483</v>
      </c>
      <c r="B35" s="76">
        <v>1000</v>
      </c>
      <c r="C35" s="76"/>
      <c r="D35" s="76"/>
      <c r="E35" s="125"/>
      <c r="F35" s="76"/>
      <c r="G35" s="76"/>
      <c r="H35" s="79"/>
    </row>
    <row r="36" spans="1:18" s="83" customFormat="1">
      <c r="A36" s="125" t="s">
        <v>484</v>
      </c>
      <c r="B36" s="76">
        <v>2100</v>
      </c>
      <c r="C36" s="76"/>
      <c r="D36" s="76"/>
      <c r="E36" s="125"/>
      <c r="F36" s="76"/>
      <c r="G36" s="76"/>
      <c r="H36" s="79"/>
    </row>
    <row r="37" spans="1:18" s="83" customFormat="1">
      <c r="A37" s="82"/>
      <c r="E37" s="82"/>
    </row>
    <row r="38" spans="1:18" s="83" customFormat="1">
      <c r="A38" s="82"/>
      <c r="E38" s="82"/>
    </row>
    <row r="39" spans="1:18" s="83" customFormat="1">
      <c r="A39" s="82"/>
      <c r="E39" s="82"/>
    </row>
    <row r="40" spans="1:18" s="83" customFormat="1">
      <c r="A40" s="82"/>
      <c r="E40" s="82"/>
    </row>
    <row r="41" spans="1:18" s="83" customFormat="1">
      <c r="A41" s="82"/>
      <c r="E41" s="82"/>
    </row>
    <row r="42" spans="1:18" s="83" customFormat="1">
      <c r="A42" s="82"/>
      <c r="E42" s="82"/>
    </row>
    <row r="43" spans="1:18" s="83" customFormat="1">
      <c r="A43" s="82"/>
      <c r="E43" s="82"/>
    </row>
    <row r="44" spans="1:18" s="83" customFormat="1">
      <c r="A44" s="82"/>
      <c r="E44" s="82"/>
    </row>
    <row r="45" spans="1:18" s="83" customFormat="1">
      <c r="A45" s="82"/>
      <c r="E45" s="82"/>
    </row>
    <row r="46" spans="1:18" s="83" customFormat="1">
      <c r="A46" s="82"/>
      <c r="E46" s="82"/>
    </row>
    <row r="47" spans="1:18" s="83" customFormat="1" ht="18.75">
      <c r="A47" s="289" t="s">
        <v>452</v>
      </c>
      <c r="B47" s="289"/>
      <c r="C47" s="289"/>
      <c r="D47" s="289"/>
      <c r="E47" s="289"/>
      <c r="F47" s="289"/>
      <c r="G47" s="289"/>
      <c r="H47" s="289"/>
    </row>
    <row r="48" spans="1:18">
      <c r="A48" s="290" t="s">
        <v>453</v>
      </c>
      <c r="B48" s="291"/>
      <c r="C48" s="292"/>
      <c r="D48" s="80"/>
      <c r="E48" s="290" t="s">
        <v>454</v>
      </c>
      <c r="F48" s="291"/>
      <c r="G48" s="292"/>
      <c r="H48" s="81"/>
    </row>
    <row r="49" spans="1:8">
      <c r="A49" s="69" t="s">
        <v>31</v>
      </c>
      <c r="B49" s="71">
        <f>SUM(B51:B68)</f>
        <v>287539</v>
      </c>
      <c r="C49" s="69"/>
      <c r="D49" s="70"/>
      <c r="E49" s="69" t="s">
        <v>31</v>
      </c>
      <c r="F49" s="71">
        <f>SUM(F51:F68)</f>
        <v>84708</v>
      </c>
      <c r="G49" s="69"/>
      <c r="H49" s="79"/>
    </row>
    <row r="50" spans="1:8" ht="30">
      <c r="A50" s="69" t="s">
        <v>16</v>
      </c>
      <c r="B50" s="72" t="s">
        <v>17</v>
      </c>
      <c r="C50" s="72" t="s">
        <v>432</v>
      </c>
      <c r="D50" s="70"/>
      <c r="E50" s="69" t="s">
        <v>16</v>
      </c>
      <c r="F50" s="72" t="s">
        <v>17</v>
      </c>
      <c r="G50" s="72" t="s">
        <v>11</v>
      </c>
      <c r="H50" s="79"/>
    </row>
    <row r="51" spans="1:8">
      <c r="A51" s="73">
        <v>43589</v>
      </c>
      <c r="B51" s="44">
        <v>79650</v>
      </c>
      <c r="C51" s="77">
        <v>33</v>
      </c>
      <c r="D51" s="70"/>
      <c r="E51" s="73" t="s">
        <v>424</v>
      </c>
      <c r="F51" s="44">
        <v>17162</v>
      </c>
      <c r="G51" s="44"/>
      <c r="H51" s="79"/>
    </row>
    <row r="52" spans="1:8">
      <c r="A52" s="73">
        <v>43712</v>
      </c>
      <c r="B52" s="44">
        <v>3000</v>
      </c>
      <c r="C52" s="44">
        <v>56</v>
      </c>
      <c r="D52" s="70"/>
      <c r="E52" s="73">
        <v>43654</v>
      </c>
      <c r="F52" s="44">
        <v>15024</v>
      </c>
      <c r="G52" s="44"/>
      <c r="H52" s="79"/>
    </row>
    <row r="53" spans="1:8">
      <c r="A53" s="73">
        <v>43712</v>
      </c>
      <c r="B53" s="44">
        <v>980</v>
      </c>
      <c r="C53" s="44">
        <v>55</v>
      </c>
      <c r="D53" s="70"/>
      <c r="E53" s="73">
        <v>43746</v>
      </c>
      <c r="F53" s="44">
        <v>38872</v>
      </c>
      <c r="G53" s="44"/>
      <c r="H53" s="79"/>
    </row>
    <row r="54" spans="1:8">
      <c r="A54" s="73" t="s">
        <v>409</v>
      </c>
      <c r="B54" s="44">
        <v>33000</v>
      </c>
      <c r="C54" s="44">
        <v>149</v>
      </c>
      <c r="D54" s="70"/>
      <c r="E54" s="73" t="s">
        <v>425</v>
      </c>
      <c r="F54" s="44">
        <v>13650</v>
      </c>
      <c r="G54" s="44"/>
      <c r="H54" s="79"/>
    </row>
    <row r="55" spans="1:8">
      <c r="A55" s="73" t="s">
        <v>427</v>
      </c>
      <c r="B55" s="44">
        <v>8400</v>
      </c>
      <c r="C55" s="44">
        <v>159</v>
      </c>
      <c r="D55" s="70"/>
      <c r="E55" s="73"/>
      <c r="F55" s="44"/>
      <c r="G55" s="44"/>
      <c r="H55" s="79"/>
    </row>
    <row r="56" spans="1:8">
      <c r="A56" s="73" t="s">
        <v>59</v>
      </c>
      <c r="B56" s="44">
        <v>17050</v>
      </c>
      <c r="C56" s="44">
        <v>178</v>
      </c>
      <c r="D56" s="70"/>
      <c r="E56" s="73"/>
      <c r="F56" s="44"/>
      <c r="G56" s="44"/>
      <c r="H56" s="79"/>
    </row>
    <row r="57" spans="1:8">
      <c r="A57" s="73" t="s">
        <v>433</v>
      </c>
      <c r="B57" s="44">
        <v>20325</v>
      </c>
      <c r="C57" s="44">
        <v>204</v>
      </c>
      <c r="D57" s="70"/>
      <c r="E57" s="73"/>
      <c r="F57" s="44"/>
      <c r="G57" s="44"/>
      <c r="H57" s="79"/>
    </row>
    <row r="58" spans="1:8">
      <c r="A58" s="73" t="s">
        <v>417</v>
      </c>
      <c r="B58" s="44">
        <v>40845</v>
      </c>
      <c r="C58" s="44">
        <v>211</v>
      </c>
      <c r="D58" s="70"/>
      <c r="E58" s="73"/>
      <c r="F58" s="44"/>
      <c r="G58" s="44"/>
      <c r="H58" s="79"/>
    </row>
    <row r="59" spans="1:8">
      <c r="A59" s="73" t="s">
        <v>417</v>
      </c>
      <c r="B59" s="44">
        <v>6635</v>
      </c>
      <c r="C59" s="44">
        <v>213</v>
      </c>
      <c r="D59" s="70"/>
      <c r="E59" s="73"/>
      <c r="F59" s="44"/>
      <c r="G59" s="44"/>
      <c r="H59" s="79"/>
    </row>
    <row r="60" spans="1:8">
      <c r="A60" s="73">
        <v>43531</v>
      </c>
      <c r="B60" s="44">
        <v>48825</v>
      </c>
      <c r="C60" s="44">
        <v>249</v>
      </c>
      <c r="D60" s="70"/>
      <c r="E60" s="73"/>
      <c r="F60" s="44"/>
      <c r="G60" s="44"/>
      <c r="H60" s="79"/>
    </row>
    <row r="61" spans="1:8">
      <c r="A61" s="73">
        <v>43562</v>
      </c>
      <c r="B61" s="44">
        <v>31014</v>
      </c>
      <c r="C61" s="44">
        <v>253</v>
      </c>
      <c r="D61" s="70"/>
      <c r="E61" s="73"/>
      <c r="F61" s="44"/>
      <c r="G61" s="44"/>
      <c r="H61" s="79"/>
    </row>
    <row r="62" spans="1:8">
      <c r="A62" s="73">
        <v>43776</v>
      </c>
      <c r="B62" s="44">
        <v>10545</v>
      </c>
      <c r="C62" s="44">
        <v>297</v>
      </c>
      <c r="D62" s="70"/>
      <c r="E62" s="73"/>
      <c r="F62" s="44"/>
      <c r="G62" s="44"/>
      <c r="H62" s="79"/>
    </row>
    <row r="63" spans="1:8">
      <c r="A63" s="73" t="s">
        <v>428</v>
      </c>
      <c r="B63" s="44">
        <v>20600</v>
      </c>
      <c r="C63" s="44">
        <v>339</v>
      </c>
      <c r="D63" s="70"/>
      <c r="E63" s="73"/>
      <c r="F63" s="44"/>
      <c r="G63" s="44"/>
      <c r="H63" s="79"/>
    </row>
    <row r="64" spans="1:8">
      <c r="A64" s="73" t="s">
        <v>418</v>
      </c>
      <c r="B64" s="44">
        <v>7975</v>
      </c>
      <c r="C64" s="44">
        <v>357</v>
      </c>
      <c r="D64" s="70"/>
      <c r="E64" s="73"/>
      <c r="F64" s="44"/>
      <c r="G64" s="44"/>
      <c r="H64" s="79"/>
    </row>
    <row r="65" spans="1:8">
      <c r="A65" s="73">
        <v>43533</v>
      </c>
      <c r="B65" s="44">
        <v>1695</v>
      </c>
      <c r="C65" s="44">
        <v>444</v>
      </c>
      <c r="D65" s="70"/>
      <c r="E65" s="73"/>
      <c r="F65" s="44"/>
      <c r="G65" s="44"/>
      <c r="H65" s="79"/>
    </row>
    <row r="66" spans="1:8" ht="45">
      <c r="A66" s="73"/>
      <c r="B66" s="44">
        <v>-43000</v>
      </c>
      <c r="C66" s="44" t="s">
        <v>434</v>
      </c>
      <c r="D66" s="70"/>
      <c r="E66" s="73"/>
      <c r="F66" s="44"/>
      <c r="G66" s="44"/>
      <c r="H66" s="79"/>
    </row>
    <row r="67" spans="1:8">
      <c r="A67" s="73"/>
      <c r="B67" s="44"/>
      <c r="C67" s="44"/>
      <c r="D67" s="70"/>
      <c r="E67" s="73"/>
      <c r="F67" s="44"/>
      <c r="G67" s="44"/>
      <c r="H67" s="79"/>
    </row>
    <row r="68" spans="1:8">
      <c r="A68" s="73"/>
      <c r="B68" s="44"/>
      <c r="C68" s="44"/>
      <c r="D68" s="70"/>
      <c r="E68" s="73"/>
      <c r="F68" s="44"/>
      <c r="G68" s="44"/>
      <c r="H68" s="79"/>
    </row>
    <row r="69" spans="1:8">
      <c r="A69" s="73"/>
      <c r="B69" s="44"/>
      <c r="C69" s="44"/>
      <c r="D69" s="70"/>
      <c r="E69" s="73"/>
      <c r="F69" s="44"/>
      <c r="G69" s="44"/>
      <c r="H69" s="79"/>
    </row>
    <row r="70" spans="1:8">
      <c r="A70" s="73"/>
      <c r="B70" s="44"/>
      <c r="C70" s="44"/>
      <c r="D70" s="70"/>
      <c r="E70" s="73"/>
      <c r="F70" s="44"/>
      <c r="G70" s="44"/>
      <c r="H70" s="79"/>
    </row>
    <row r="71" spans="1:8">
      <c r="A71" s="73"/>
      <c r="B71" s="44"/>
      <c r="C71" s="44"/>
      <c r="D71" s="70"/>
      <c r="E71" s="73"/>
      <c r="F71" s="44"/>
      <c r="G71" s="44"/>
      <c r="H71" s="79"/>
    </row>
    <row r="72" spans="1:8">
      <c r="A72" s="73"/>
      <c r="B72" s="44"/>
      <c r="C72" s="44"/>
      <c r="D72" s="70"/>
      <c r="E72" s="73"/>
      <c r="F72" s="44"/>
      <c r="G72" s="44"/>
      <c r="H72" s="79"/>
    </row>
  </sheetData>
  <mergeCells count="6">
    <mergeCell ref="E2:G2"/>
    <mergeCell ref="A1:H1"/>
    <mergeCell ref="A2:C2"/>
    <mergeCell ref="A47:H47"/>
    <mergeCell ref="A48:C48"/>
    <mergeCell ref="E48:G4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K34"/>
  <sheetViews>
    <sheetView zoomScale="90" zoomScaleNormal="90" workbookViewId="0">
      <selection activeCell="H22" sqref="H22"/>
    </sheetView>
  </sheetViews>
  <sheetFormatPr defaultColWidth="8.7109375" defaultRowHeight="15"/>
  <cols>
    <col min="1" max="1" width="11.5703125" style="2" bestFit="1" customWidth="1"/>
    <col min="2" max="2" width="5" style="2" bestFit="1" customWidth="1"/>
    <col min="3" max="3" width="8.28515625" style="2" customWidth="1"/>
    <col min="4" max="4" width="10.85546875" style="3" bestFit="1" customWidth="1"/>
    <col min="5" max="5" width="8.28515625" style="2" bestFit="1" customWidth="1"/>
    <col min="6" max="6" width="15.42578125" style="2" bestFit="1" customWidth="1"/>
    <col min="7" max="7" width="1" style="2" customWidth="1"/>
    <col min="8" max="8" width="12.7109375" style="28" customWidth="1"/>
    <col min="9" max="9" width="7.85546875" style="2" bestFit="1" customWidth="1"/>
    <col min="10" max="10" width="7.42578125" style="2" bestFit="1" customWidth="1"/>
    <col min="11" max="16384" width="8.7109375" style="2"/>
  </cols>
  <sheetData>
    <row r="1" spans="1:11">
      <c r="A1" s="208" t="s">
        <v>793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57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10" t="s">
        <v>14</v>
      </c>
      <c r="D3" s="11" t="s">
        <v>15</v>
      </c>
      <c r="E3" s="10" t="s">
        <v>13</v>
      </c>
      <c r="F3" s="10" t="s">
        <v>11</v>
      </c>
      <c r="G3" s="57"/>
      <c r="H3" s="48" t="s">
        <v>16</v>
      </c>
      <c r="I3" s="10" t="s">
        <v>17</v>
      </c>
      <c r="J3" s="10" t="s">
        <v>11</v>
      </c>
      <c r="K3" s="2" t="s">
        <v>1151</v>
      </c>
    </row>
    <row r="4" spans="1:11">
      <c r="A4" s="6" t="s">
        <v>422</v>
      </c>
      <c r="B4" s="4"/>
      <c r="C4" s="4"/>
      <c r="D4" s="36">
        <v>120000</v>
      </c>
      <c r="E4" s="4"/>
      <c r="F4" s="4"/>
      <c r="G4" s="57"/>
      <c r="H4" s="26">
        <v>44676</v>
      </c>
      <c r="I4" s="4">
        <v>30000</v>
      </c>
      <c r="J4" s="4"/>
    </row>
    <row r="5" spans="1:11">
      <c r="A5" s="6" t="s">
        <v>44</v>
      </c>
      <c r="B5" s="4"/>
      <c r="C5" s="4"/>
      <c r="D5" s="36">
        <v>35000</v>
      </c>
      <c r="E5" s="4"/>
      <c r="F5" s="4"/>
      <c r="G5" s="57"/>
      <c r="H5" s="26">
        <v>44686</v>
      </c>
      <c r="I5" s="4">
        <v>20000</v>
      </c>
      <c r="J5" s="4"/>
    </row>
    <row r="6" spans="1:11">
      <c r="A6" s="6" t="s">
        <v>45</v>
      </c>
      <c r="B6" s="4"/>
      <c r="C6" s="4"/>
      <c r="D6" s="36">
        <v>35000</v>
      </c>
      <c r="E6" s="4"/>
      <c r="F6" s="4"/>
      <c r="G6" s="57"/>
      <c r="H6" s="26">
        <v>44692</v>
      </c>
      <c r="I6" s="4">
        <v>20000</v>
      </c>
      <c r="J6" s="4"/>
    </row>
    <row r="7" spans="1:11">
      <c r="A7" s="4" t="s">
        <v>0</v>
      </c>
      <c r="B7" s="4"/>
      <c r="C7" s="4"/>
      <c r="D7" s="36">
        <v>35000</v>
      </c>
      <c r="E7" s="4"/>
      <c r="F7" s="6"/>
      <c r="G7" s="57"/>
      <c r="H7" s="26">
        <v>44753</v>
      </c>
      <c r="I7" s="4">
        <v>20000</v>
      </c>
      <c r="J7" s="4"/>
    </row>
    <row r="8" spans="1:11">
      <c r="A8" s="4" t="s">
        <v>1</v>
      </c>
      <c r="B8" s="4"/>
      <c r="C8" s="4"/>
      <c r="D8" s="36">
        <v>35000</v>
      </c>
      <c r="E8" s="4"/>
      <c r="F8" s="4"/>
      <c r="G8" s="57"/>
      <c r="H8" s="26">
        <v>44772</v>
      </c>
      <c r="I8" s="4">
        <v>100000</v>
      </c>
      <c r="J8" s="4"/>
    </row>
    <row r="9" spans="1:11">
      <c r="A9" s="4" t="s">
        <v>2</v>
      </c>
      <c r="B9" s="4"/>
      <c r="C9" s="4"/>
      <c r="D9" s="36">
        <v>35000</v>
      </c>
      <c r="E9" s="4"/>
      <c r="F9" s="4"/>
      <c r="G9" s="57"/>
      <c r="H9" s="26">
        <v>44783</v>
      </c>
      <c r="I9" s="4">
        <v>10000</v>
      </c>
      <c r="J9" s="4"/>
    </row>
    <row r="10" spans="1:11">
      <c r="A10" s="4" t="s">
        <v>3</v>
      </c>
      <c r="B10" s="4"/>
      <c r="C10" s="4"/>
      <c r="D10" s="36">
        <v>35000</v>
      </c>
      <c r="E10" s="4"/>
      <c r="F10" s="4"/>
      <c r="G10" s="57"/>
      <c r="H10" s="26">
        <v>44795</v>
      </c>
      <c r="I10" s="4">
        <v>20000</v>
      </c>
      <c r="J10" s="4"/>
    </row>
    <row r="11" spans="1:11">
      <c r="A11" s="4" t="s">
        <v>4</v>
      </c>
      <c r="B11" s="4"/>
      <c r="C11" s="4"/>
      <c r="D11" s="36">
        <v>35000</v>
      </c>
      <c r="E11" s="4"/>
      <c r="F11" s="4"/>
      <c r="G11" s="57"/>
      <c r="H11" s="26">
        <v>44804</v>
      </c>
      <c r="I11" s="4">
        <v>30000</v>
      </c>
      <c r="J11" s="4"/>
    </row>
    <row r="12" spans="1:11">
      <c r="A12" s="4" t="s">
        <v>5</v>
      </c>
      <c r="B12" s="4"/>
      <c r="C12" s="4"/>
      <c r="D12" s="36">
        <v>35000</v>
      </c>
      <c r="E12" s="4"/>
      <c r="F12" s="4"/>
      <c r="G12" s="57"/>
      <c r="H12" s="26">
        <v>44814</v>
      </c>
      <c r="I12" s="4">
        <v>30000</v>
      </c>
      <c r="J12" s="4"/>
    </row>
    <row r="13" spans="1:11">
      <c r="A13" s="4" t="s">
        <v>6</v>
      </c>
      <c r="B13" s="4"/>
      <c r="C13" s="4"/>
      <c r="D13" s="36">
        <v>35000</v>
      </c>
      <c r="E13" s="4"/>
      <c r="F13" s="4"/>
      <c r="G13" s="57"/>
      <c r="H13" s="26">
        <v>44829</v>
      </c>
      <c r="I13" s="4">
        <v>20000</v>
      </c>
      <c r="J13" s="4"/>
    </row>
    <row r="14" spans="1:11">
      <c r="A14" s="4" t="s">
        <v>7</v>
      </c>
      <c r="B14" s="4"/>
      <c r="C14" s="4"/>
      <c r="D14" s="36">
        <v>35000</v>
      </c>
      <c r="E14" s="4"/>
      <c r="F14" s="4"/>
      <c r="G14" s="57"/>
      <c r="H14" s="26">
        <v>44833</v>
      </c>
      <c r="I14" s="4">
        <v>30000</v>
      </c>
      <c r="J14" s="4"/>
    </row>
    <row r="15" spans="1:11">
      <c r="A15" s="4" t="s">
        <v>8</v>
      </c>
      <c r="B15" s="4"/>
      <c r="C15" s="4"/>
      <c r="D15" s="36"/>
      <c r="E15" s="4"/>
      <c r="F15" s="4"/>
      <c r="G15" s="57"/>
      <c r="H15" s="26">
        <v>44838</v>
      </c>
      <c r="I15" s="4">
        <v>20000</v>
      </c>
      <c r="J15" s="4"/>
    </row>
    <row r="16" spans="1:11">
      <c r="A16" s="4" t="s">
        <v>9</v>
      </c>
      <c r="B16" s="4"/>
      <c r="C16" s="4"/>
      <c r="D16" s="36"/>
      <c r="E16" s="4"/>
      <c r="F16" s="4"/>
      <c r="G16" s="57"/>
      <c r="H16" s="26">
        <v>44849</v>
      </c>
      <c r="I16" s="4">
        <v>20000</v>
      </c>
      <c r="J16" s="4"/>
    </row>
    <row r="17" spans="1:11">
      <c r="A17" s="4" t="s">
        <v>20</v>
      </c>
      <c r="B17" s="4"/>
      <c r="C17" s="4"/>
      <c r="D17" s="36"/>
      <c r="E17" s="4"/>
      <c r="F17" s="4"/>
      <c r="G17" s="57"/>
      <c r="H17" s="26">
        <v>44852</v>
      </c>
      <c r="I17" s="4">
        <v>10000</v>
      </c>
      <c r="J17" s="4"/>
    </row>
    <row r="18" spans="1:11">
      <c r="A18" s="4" t="s">
        <v>19</v>
      </c>
      <c r="B18" s="4"/>
      <c r="C18" s="4"/>
      <c r="D18" s="36"/>
      <c r="E18" s="4"/>
      <c r="F18" s="4"/>
      <c r="G18" s="57"/>
      <c r="H18" s="26">
        <v>44855</v>
      </c>
      <c r="I18" s="4">
        <v>20000</v>
      </c>
      <c r="J18" s="4"/>
    </row>
    <row r="19" spans="1:11">
      <c r="G19" s="57"/>
      <c r="H19" s="26">
        <v>44892</v>
      </c>
      <c r="I19" s="4">
        <v>20000</v>
      </c>
      <c r="J19" s="4"/>
    </row>
    <row r="20" spans="1:11">
      <c r="G20" s="57"/>
      <c r="H20" s="26">
        <v>44913</v>
      </c>
      <c r="I20" s="4">
        <v>30000</v>
      </c>
      <c r="J20" s="4"/>
    </row>
    <row r="21" spans="1:11">
      <c r="G21" s="57"/>
      <c r="H21" s="26">
        <v>44922</v>
      </c>
      <c r="I21" s="4">
        <v>20000</v>
      </c>
      <c r="J21" s="4"/>
    </row>
    <row r="22" spans="1:11">
      <c r="A22" s="295" t="s">
        <v>21</v>
      </c>
      <c r="B22" s="295"/>
      <c r="C22" s="295"/>
      <c r="D22" s="295"/>
      <c r="E22" s="295"/>
      <c r="F22" s="295"/>
      <c r="G22" s="57"/>
      <c r="H22" s="306">
        <v>44971</v>
      </c>
      <c r="I22" s="207">
        <v>5000</v>
      </c>
      <c r="J22" s="207" t="s">
        <v>1181</v>
      </c>
      <c r="K22" s="243">
        <v>26</v>
      </c>
    </row>
    <row r="23" spans="1:11">
      <c r="G23" s="57"/>
      <c r="H23" s="26"/>
      <c r="I23" s="4"/>
      <c r="J23" s="4"/>
    </row>
    <row r="24" spans="1:11">
      <c r="A24" s="296" t="s">
        <v>22</v>
      </c>
      <c r="B24" s="296"/>
      <c r="C24" s="36">
        <f>SUM(D4:D17)</f>
        <v>470000</v>
      </c>
      <c r="G24" s="57"/>
      <c r="H24" s="26"/>
      <c r="I24" s="4"/>
      <c r="J24" s="4"/>
    </row>
    <row r="25" spans="1:11">
      <c r="A25" s="296" t="s">
        <v>23</v>
      </c>
      <c r="B25" s="296"/>
      <c r="C25" s="4">
        <f>SUM(I4:I34)</f>
        <v>475000</v>
      </c>
      <c r="G25" s="57"/>
      <c r="H25" s="26"/>
      <c r="I25" s="4"/>
      <c r="J25" s="4"/>
    </row>
    <row r="26" spans="1:11">
      <c r="A26" s="296" t="s">
        <v>50</v>
      </c>
      <c r="B26" s="296"/>
      <c r="C26" s="36">
        <f>C24-C25</f>
        <v>-5000</v>
      </c>
      <c r="G26" s="57"/>
      <c r="H26" s="26"/>
      <c r="I26" s="4"/>
      <c r="J26" s="4"/>
    </row>
    <row r="27" spans="1:11">
      <c r="A27" s="10" t="s">
        <v>46</v>
      </c>
      <c r="B27" s="10"/>
      <c r="C27" s="4">
        <v>0</v>
      </c>
      <c r="G27" s="57"/>
      <c r="H27" s="26"/>
      <c r="I27" s="4"/>
      <c r="J27" s="4"/>
    </row>
    <row r="28" spans="1:11">
      <c r="A28" s="293" t="s">
        <v>51</v>
      </c>
      <c r="B28" s="294"/>
      <c r="C28" s="38">
        <f>C24-C25</f>
        <v>-5000</v>
      </c>
      <c r="G28" s="57"/>
      <c r="H28" s="26"/>
      <c r="I28" s="4"/>
      <c r="J28" s="4"/>
    </row>
    <row r="29" spans="1:11">
      <c r="G29" s="57"/>
      <c r="H29" s="26"/>
      <c r="I29" s="4"/>
      <c r="J29" s="4"/>
    </row>
    <row r="30" spans="1:11">
      <c r="G30" s="58"/>
      <c r="H30" s="26"/>
      <c r="I30" s="59"/>
      <c r="J30" s="59"/>
    </row>
    <row r="31" spans="1:11">
      <c r="A31" s="9"/>
      <c r="B31" s="9"/>
      <c r="C31" s="9"/>
      <c r="D31" s="60"/>
      <c r="E31" s="9"/>
      <c r="F31" s="9"/>
      <c r="G31" s="120"/>
      <c r="H31" s="26"/>
      <c r="I31" s="4"/>
      <c r="J31" s="4"/>
    </row>
    <row r="32" spans="1:11">
      <c r="H32" s="26"/>
      <c r="I32" s="4"/>
      <c r="J32" s="4"/>
    </row>
    <row r="33" spans="8:10">
      <c r="H33" s="26"/>
      <c r="I33" s="4"/>
      <c r="J33" s="4"/>
    </row>
    <row r="34" spans="8:10">
      <c r="H34" s="26"/>
      <c r="I34" s="4"/>
      <c r="J34" s="4"/>
    </row>
  </sheetData>
  <mergeCells count="5">
    <mergeCell ref="A28:B28"/>
    <mergeCell ref="A22:F22"/>
    <mergeCell ref="A24:B24"/>
    <mergeCell ref="A25:B25"/>
    <mergeCell ref="A26:B26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31"/>
  <sheetViews>
    <sheetView workbookViewId="0">
      <selection activeCell="H1" sqref="H1:H1048576"/>
    </sheetView>
  </sheetViews>
  <sheetFormatPr defaultColWidth="8.7109375" defaultRowHeight="15"/>
  <cols>
    <col min="1" max="1" width="10.5703125" style="14" bestFit="1" customWidth="1"/>
    <col min="2" max="2" width="10.42578125" style="14" customWidth="1"/>
    <col min="3" max="3" width="6.85546875" style="43" bestFit="1" customWidth="1"/>
    <col min="4" max="4" width="8.7109375" style="14"/>
    <col min="5" max="5" width="3.5703125" style="14" bestFit="1" customWidth="1"/>
    <col min="6" max="6" width="8.7109375" style="14"/>
    <col min="7" max="7" width="2" style="14" customWidth="1"/>
    <col min="8" max="8" width="14.5703125" style="29" bestFit="1" customWidth="1"/>
    <col min="9" max="9" width="8.7109375" style="14"/>
    <col min="10" max="10" width="10.140625" style="14" customWidth="1"/>
    <col min="11" max="16384" width="8.7109375" style="14"/>
  </cols>
  <sheetData>
    <row r="1" spans="1:11">
      <c r="A1" s="233" t="s">
        <v>795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55</v>
      </c>
      <c r="C3" s="40" t="s">
        <v>14</v>
      </c>
      <c r="D3" s="67" t="s">
        <v>449</v>
      </c>
      <c r="E3" s="10" t="s">
        <v>448</v>
      </c>
      <c r="F3" s="10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>
      <c r="A4" s="6" t="s">
        <v>422</v>
      </c>
      <c r="B4" s="4"/>
      <c r="C4" s="36"/>
      <c r="D4" s="18">
        <v>36714</v>
      </c>
      <c r="E4" s="4"/>
      <c r="F4" s="4"/>
      <c r="G4" s="9"/>
      <c r="H4" s="24">
        <v>44658</v>
      </c>
      <c r="I4" s="23">
        <v>20000</v>
      </c>
      <c r="J4" s="4"/>
    </row>
    <row r="5" spans="1:11">
      <c r="A5" s="23" t="s">
        <v>44</v>
      </c>
      <c r="B5" s="23"/>
      <c r="C5" s="36"/>
      <c r="D5" s="39">
        <v>8000</v>
      </c>
      <c r="E5" s="23"/>
      <c r="F5" s="23"/>
      <c r="G5" s="9"/>
      <c r="H5" s="24">
        <v>44672</v>
      </c>
      <c r="I5" s="23">
        <v>1000</v>
      </c>
      <c r="J5" s="4"/>
    </row>
    <row r="6" spans="1:11">
      <c r="A6" s="23" t="s">
        <v>45</v>
      </c>
      <c r="B6" s="23"/>
      <c r="C6" s="39"/>
      <c r="D6" s="39">
        <v>3733</v>
      </c>
      <c r="E6" s="23"/>
      <c r="F6" s="23"/>
      <c r="G6" s="9"/>
      <c r="H6" s="24">
        <v>44676</v>
      </c>
      <c r="I6" s="23">
        <v>10000</v>
      </c>
      <c r="J6" s="4"/>
    </row>
    <row r="7" spans="1:11">
      <c r="A7" s="4" t="s">
        <v>0</v>
      </c>
      <c r="B7" s="4"/>
      <c r="C7" s="36"/>
      <c r="D7" s="39">
        <v>2666</v>
      </c>
      <c r="E7" s="4"/>
      <c r="F7" s="6"/>
      <c r="G7" s="9"/>
      <c r="H7" s="26">
        <v>44681</v>
      </c>
      <c r="I7" s="4">
        <v>2000</v>
      </c>
      <c r="J7" s="4"/>
    </row>
    <row r="8" spans="1:11">
      <c r="A8" s="4" t="s">
        <v>1</v>
      </c>
      <c r="B8" s="4"/>
      <c r="C8" s="36"/>
      <c r="D8" s="39">
        <v>9900</v>
      </c>
      <c r="E8" s="4"/>
      <c r="F8" s="4" t="s">
        <v>794</v>
      </c>
      <c r="G8" s="9"/>
      <c r="H8" s="26">
        <v>44690</v>
      </c>
      <c r="I8" s="4">
        <v>4500</v>
      </c>
      <c r="J8" s="4"/>
    </row>
    <row r="9" spans="1:11">
      <c r="A9" s="4" t="s">
        <v>2</v>
      </c>
      <c r="B9" s="4"/>
      <c r="C9" s="36"/>
      <c r="D9" s="39">
        <v>11000</v>
      </c>
      <c r="E9" s="4"/>
      <c r="F9" s="145"/>
      <c r="G9" s="9"/>
      <c r="H9" s="26">
        <v>44782</v>
      </c>
      <c r="I9" s="4">
        <v>3000</v>
      </c>
      <c r="J9" s="4"/>
    </row>
    <row r="10" spans="1:11">
      <c r="A10" s="4" t="s">
        <v>3</v>
      </c>
      <c r="B10" s="4"/>
      <c r="C10" s="36"/>
      <c r="D10" s="39">
        <v>11000</v>
      </c>
      <c r="E10" s="4"/>
      <c r="F10" s="4"/>
      <c r="G10" s="9"/>
      <c r="H10" s="192">
        <v>44789</v>
      </c>
      <c r="I10" s="14">
        <v>10000</v>
      </c>
      <c r="J10" s="4"/>
    </row>
    <row r="11" spans="1:11">
      <c r="A11" s="4" t="s">
        <v>4</v>
      </c>
      <c r="B11" s="4"/>
      <c r="C11" s="36"/>
      <c r="D11" s="39">
        <v>11000</v>
      </c>
      <c r="E11" s="4"/>
      <c r="F11" s="4"/>
      <c r="G11" s="9"/>
      <c r="H11" s="26">
        <v>44851</v>
      </c>
      <c r="I11" s="4">
        <v>10000</v>
      </c>
      <c r="J11" s="4"/>
    </row>
    <row r="12" spans="1:11">
      <c r="A12" s="4" t="s">
        <v>5</v>
      </c>
      <c r="B12" s="4"/>
      <c r="C12" s="36"/>
      <c r="D12" s="39">
        <v>10266</v>
      </c>
      <c r="E12" s="4"/>
      <c r="F12" s="4"/>
      <c r="G12" s="9"/>
      <c r="H12" s="26">
        <v>44894</v>
      </c>
      <c r="I12" s="4">
        <v>10000</v>
      </c>
      <c r="J12" s="4"/>
    </row>
    <row r="13" spans="1:11">
      <c r="A13" s="4" t="s">
        <v>6</v>
      </c>
      <c r="B13" s="4"/>
      <c r="C13" s="36"/>
      <c r="D13" s="39">
        <v>11000</v>
      </c>
      <c r="E13" s="4"/>
      <c r="F13" s="4"/>
      <c r="G13" s="9"/>
      <c r="H13" s="26">
        <v>44957</v>
      </c>
      <c r="I13" s="23">
        <v>5000</v>
      </c>
      <c r="J13" s="4"/>
    </row>
    <row r="14" spans="1:11">
      <c r="A14" s="4" t="s">
        <v>7</v>
      </c>
      <c r="B14" s="4"/>
      <c r="C14" s="36"/>
      <c r="D14" s="39">
        <v>11000</v>
      </c>
      <c r="E14" s="4"/>
      <c r="F14" s="4"/>
      <c r="G14" s="9"/>
      <c r="H14" s="306">
        <v>44959</v>
      </c>
      <c r="I14" s="308">
        <v>3000</v>
      </c>
      <c r="J14" s="308" t="s">
        <v>1163</v>
      </c>
      <c r="K14" s="243">
        <v>99</v>
      </c>
    </row>
    <row r="15" spans="1:11">
      <c r="A15" s="23" t="s">
        <v>8</v>
      </c>
      <c r="B15" s="23"/>
      <c r="C15" s="36"/>
      <c r="D15" s="39"/>
      <c r="E15" s="23"/>
      <c r="F15" s="23"/>
      <c r="G15" s="9"/>
      <c r="H15" s="306">
        <v>44965</v>
      </c>
      <c r="I15" s="207">
        <v>5000</v>
      </c>
      <c r="J15" s="207" t="s">
        <v>1163</v>
      </c>
      <c r="K15" s="243">
        <v>12</v>
      </c>
    </row>
    <row r="16" spans="1:11">
      <c r="A16" s="23" t="s">
        <v>9</v>
      </c>
      <c r="B16" s="23"/>
      <c r="C16" s="36"/>
      <c r="D16" s="39"/>
      <c r="E16" s="23"/>
      <c r="F16" s="23"/>
      <c r="G16" s="9"/>
      <c r="H16" s="306"/>
      <c r="I16" s="308"/>
      <c r="J16" s="308"/>
      <c r="K16" s="243"/>
    </row>
    <row r="17" spans="1:10">
      <c r="A17" s="4" t="s">
        <v>20</v>
      </c>
      <c r="B17" s="4"/>
      <c r="C17" s="36"/>
      <c r="D17" s="4"/>
      <c r="E17" s="4"/>
      <c r="F17" s="4"/>
      <c r="G17" s="9"/>
      <c r="H17" s="26"/>
      <c r="I17" s="4"/>
      <c r="J17" s="4"/>
    </row>
    <row r="18" spans="1:10">
      <c r="A18" s="4" t="s">
        <v>19</v>
      </c>
      <c r="B18" s="4"/>
      <c r="C18" s="36"/>
      <c r="D18" s="5"/>
      <c r="E18" s="4"/>
      <c r="F18" s="4"/>
      <c r="G18" s="9"/>
      <c r="H18" s="26"/>
      <c r="I18" s="4"/>
      <c r="J18" s="4"/>
    </row>
    <row r="19" spans="1:10">
      <c r="A19" s="4"/>
      <c r="B19" s="4"/>
      <c r="C19" s="36"/>
      <c r="D19" s="5"/>
      <c r="E19" s="4"/>
      <c r="F19" s="4"/>
      <c r="G19" s="9"/>
      <c r="H19" s="26"/>
      <c r="I19" s="4"/>
      <c r="J19" s="4"/>
    </row>
    <row r="20" spans="1:10">
      <c r="A20" s="4"/>
      <c r="B20" s="4"/>
      <c r="C20" s="36"/>
      <c r="D20" s="5"/>
      <c r="E20" s="4"/>
      <c r="F20" s="4"/>
      <c r="G20" s="9"/>
      <c r="H20" s="26"/>
      <c r="I20" s="4"/>
      <c r="J20" s="4"/>
    </row>
    <row r="21" spans="1:10">
      <c r="A21" s="298" t="s">
        <v>21</v>
      </c>
      <c r="B21" s="298"/>
      <c r="C21" s="298"/>
      <c r="D21" s="298"/>
      <c r="E21" s="298"/>
      <c r="F21" s="298"/>
      <c r="G21" s="9"/>
      <c r="H21" s="26"/>
      <c r="I21" s="4"/>
      <c r="J21" s="4"/>
    </row>
    <row r="22" spans="1:10">
      <c r="C22" s="14"/>
      <c r="G22" s="61"/>
      <c r="H22" s="62"/>
      <c r="I22" s="63"/>
      <c r="J22" s="63"/>
    </row>
    <row r="23" spans="1:10">
      <c r="A23" s="297" t="s">
        <v>22</v>
      </c>
      <c r="B23" s="297"/>
      <c r="C23" s="36">
        <f>SUM(D4:D17)</f>
        <v>126279</v>
      </c>
      <c r="G23" s="9"/>
      <c r="H23" s="26"/>
      <c r="I23" s="4"/>
      <c r="J23" s="4"/>
    </row>
    <row r="24" spans="1:10">
      <c r="A24" s="297" t="s">
        <v>23</v>
      </c>
      <c r="B24" s="297"/>
      <c r="C24" s="36">
        <f>SUM(I4:I40)</f>
        <v>83500</v>
      </c>
      <c r="G24" s="9"/>
      <c r="H24" s="27"/>
      <c r="I24" s="4"/>
      <c r="J24" s="4"/>
    </row>
    <row r="25" spans="1:10">
      <c r="A25" s="297" t="s">
        <v>24</v>
      </c>
      <c r="B25" s="297"/>
      <c r="C25" s="36">
        <f>C23-C24</f>
        <v>42779</v>
      </c>
      <c r="G25" s="9"/>
      <c r="H25" s="27"/>
      <c r="I25" s="4"/>
      <c r="J25" s="4"/>
    </row>
    <row r="26" spans="1:10">
      <c r="A26" s="297"/>
      <c r="B26" s="297"/>
      <c r="C26" s="36"/>
      <c r="G26" s="9"/>
      <c r="H26" s="26"/>
      <c r="I26" s="4"/>
      <c r="J26" s="4"/>
    </row>
    <row r="27" spans="1:10">
      <c r="C27" s="14"/>
      <c r="G27" s="9"/>
      <c r="H27" s="26"/>
      <c r="I27" s="4"/>
      <c r="J27" s="4"/>
    </row>
    <row r="28" spans="1:10">
      <c r="C28" s="14"/>
      <c r="G28" s="9"/>
      <c r="H28" s="27"/>
      <c r="I28" s="4"/>
      <c r="J28" s="4"/>
    </row>
    <row r="29" spans="1:10">
      <c r="C29" s="14"/>
      <c r="G29" s="9"/>
      <c r="H29" s="27"/>
      <c r="I29" s="4"/>
      <c r="J29" s="4"/>
    </row>
    <row r="30" spans="1:10">
      <c r="C30" s="14"/>
      <c r="G30" s="9"/>
      <c r="H30" s="26"/>
      <c r="I30" s="4"/>
      <c r="J30" s="4"/>
    </row>
    <row r="31" spans="1:10">
      <c r="C31" s="14"/>
    </row>
  </sheetData>
  <mergeCells count="5"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15">
      <formula1>25569</formula1>
      <formula2>54789</formula2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6"/>
  <dimension ref="A1:K35"/>
  <sheetViews>
    <sheetView workbookViewId="0">
      <selection activeCell="D15" sqref="D15"/>
    </sheetView>
  </sheetViews>
  <sheetFormatPr defaultColWidth="8.7109375" defaultRowHeight="15"/>
  <cols>
    <col min="1" max="1" width="13.42578125" style="14" bestFit="1" customWidth="1"/>
    <col min="2" max="2" width="5.85546875" style="14" customWidth="1"/>
    <col min="3" max="3" width="9.42578125" style="14" customWidth="1"/>
    <col min="4" max="4" width="8.7109375" style="14"/>
    <col min="5" max="5" width="5" style="14" bestFit="1" customWidth="1"/>
    <col min="6" max="6" width="11.85546875" style="14" bestFit="1" customWidth="1"/>
    <col min="7" max="7" width="1.5703125" style="14" customWidth="1"/>
    <col min="8" max="8" width="14.5703125" style="29" bestFit="1" customWidth="1"/>
    <col min="9" max="9" width="7.5703125" style="14" bestFit="1" customWidth="1"/>
    <col min="10" max="10" width="8.42578125" style="14" customWidth="1"/>
    <col min="11" max="16384" width="8.7109375" style="14"/>
  </cols>
  <sheetData>
    <row r="1" spans="1:11">
      <c r="A1" s="232" t="s">
        <v>796</v>
      </c>
      <c r="B1" s="232"/>
      <c r="C1" s="232"/>
      <c r="D1" s="232"/>
      <c r="E1" s="232"/>
      <c r="F1" s="232"/>
      <c r="G1" s="232"/>
      <c r="H1" s="232"/>
      <c r="I1" s="232" t="s">
        <v>1153</v>
      </c>
      <c r="J1" s="232"/>
      <c r="K1" s="232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32"/>
      <c r="K2" s="232"/>
    </row>
    <row r="3" spans="1:11">
      <c r="A3" s="10"/>
      <c r="B3" s="10"/>
      <c r="C3" s="10" t="s">
        <v>14</v>
      </c>
      <c r="D3" s="67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0" t="s">
        <v>1151</v>
      </c>
    </row>
    <row r="4" spans="1:11">
      <c r="A4" s="6" t="s">
        <v>422</v>
      </c>
      <c r="B4" s="4"/>
      <c r="C4" s="4"/>
      <c r="D4" s="36">
        <v>48585</v>
      </c>
      <c r="E4" s="4"/>
      <c r="F4" s="7"/>
      <c r="G4" s="9"/>
      <c r="H4" s="26">
        <v>44659</v>
      </c>
      <c r="I4" s="4">
        <v>5000</v>
      </c>
      <c r="J4" s="4"/>
      <c r="K4" s="4"/>
    </row>
    <row r="5" spans="1:11">
      <c r="A5" s="23" t="s">
        <v>44</v>
      </c>
      <c r="B5" s="23"/>
      <c r="C5" s="23"/>
      <c r="D5" s="39">
        <v>9800</v>
      </c>
      <c r="E5" s="23"/>
      <c r="F5" s="23" t="s">
        <v>797</v>
      </c>
      <c r="G5" s="9"/>
      <c r="H5" s="26">
        <v>44671</v>
      </c>
      <c r="I5" s="4">
        <v>5000</v>
      </c>
      <c r="J5" s="4"/>
      <c r="K5" s="231"/>
    </row>
    <row r="6" spans="1:11">
      <c r="A6" s="23" t="s">
        <v>45</v>
      </c>
      <c r="B6" s="23"/>
      <c r="C6" s="23"/>
      <c r="D6" s="39">
        <v>3266</v>
      </c>
      <c r="E6" s="23"/>
      <c r="F6" s="23"/>
      <c r="G6" s="9"/>
      <c r="H6" s="26">
        <v>44690</v>
      </c>
      <c r="I6" s="4">
        <v>5000</v>
      </c>
      <c r="J6" s="4"/>
      <c r="K6" s="217"/>
    </row>
    <row r="7" spans="1:11">
      <c r="A7" s="4" t="s">
        <v>0</v>
      </c>
      <c r="B7" s="4"/>
      <c r="C7" s="23"/>
      <c r="D7" s="39">
        <v>980</v>
      </c>
      <c r="E7" s="4"/>
      <c r="F7" s="7"/>
      <c r="G7" s="9"/>
      <c r="H7" s="24">
        <v>44744</v>
      </c>
      <c r="I7" s="23">
        <v>1000</v>
      </c>
      <c r="J7" s="4"/>
      <c r="K7" s="217"/>
    </row>
    <row r="8" spans="1:11">
      <c r="A8" s="4" t="s">
        <v>1</v>
      </c>
      <c r="B8" s="4"/>
      <c r="C8" s="4"/>
      <c r="D8" s="39">
        <v>11000</v>
      </c>
      <c r="E8" s="4"/>
      <c r="F8" s="7"/>
      <c r="G8" s="9"/>
      <c r="H8" s="24">
        <v>44751</v>
      </c>
      <c r="I8" s="23">
        <v>4000</v>
      </c>
      <c r="J8" s="4"/>
      <c r="K8" s="217"/>
    </row>
    <row r="9" spans="1:11">
      <c r="A9" s="4" t="s">
        <v>2</v>
      </c>
      <c r="B9" s="4"/>
      <c r="C9" s="4"/>
      <c r="D9" s="39">
        <v>11000</v>
      </c>
      <c r="E9" s="4"/>
      <c r="F9" s="15"/>
      <c r="G9" s="9"/>
      <c r="H9" s="24">
        <v>44753</v>
      </c>
      <c r="I9" s="23">
        <v>6000</v>
      </c>
      <c r="J9" s="4"/>
      <c r="K9" s="217"/>
    </row>
    <row r="10" spans="1:11">
      <c r="A10" s="4" t="s">
        <v>3</v>
      </c>
      <c r="B10" s="4"/>
      <c r="C10" s="4"/>
      <c r="D10" s="39">
        <v>10633</v>
      </c>
      <c r="E10" s="4"/>
      <c r="F10" s="158"/>
      <c r="G10" s="9"/>
      <c r="H10" s="26">
        <v>44774</v>
      </c>
      <c r="I10" s="4">
        <v>500</v>
      </c>
      <c r="J10" s="4"/>
      <c r="K10" s="217"/>
    </row>
    <row r="11" spans="1:11">
      <c r="A11" s="4" t="s">
        <v>4</v>
      </c>
      <c r="B11" s="4"/>
      <c r="C11" s="4"/>
      <c r="D11" s="39">
        <v>11000</v>
      </c>
      <c r="E11" s="4"/>
      <c r="F11" s="158"/>
      <c r="G11" s="9"/>
      <c r="H11" s="26">
        <v>44804</v>
      </c>
      <c r="I11" s="4">
        <v>10000</v>
      </c>
      <c r="J11" s="4"/>
      <c r="K11" s="217"/>
    </row>
    <row r="12" spans="1:11">
      <c r="A12" s="4" t="s">
        <v>5</v>
      </c>
      <c r="B12" s="4"/>
      <c r="C12" s="4"/>
      <c r="D12" s="39">
        <v>11000</v>
      </c>
      <c r="E12" s="4"/>
      <c r="F12" s="158"/>
      <c r="G12" s="9"/>
      <c r="H12" s="26">
        <v>44845</v>
      </c>
      <c r="I12" s="4">
        <v>5000</v>
      </c>
      <c r="J12" s="4"/>
      <c r="K12" s="217"/>
    </row>
    <row r="13" spans="1:11">
      <c r="A13" s="4" t="s">
        <v>6</v>
      </c>
      <c r="B13" s="4"/>
      <c r="C13" s="4"/>
      <c r="D13" s="39">
        <v>11000</v>
      </c>
      <c r="E13" s="4"/>
      <c r="F13" s="158"/>
      <c r="G13" s="9"/>
      <c r="H13" s="26">
        <v>44856</v>
      </c>
      <c r="I13" s="4">
        <v>5000</v>
      </c>
      <c r="J13" s="4"/>
      <c r="K13" s="217"/>
    </row>
    <row r="14" spans="1:11">
      <c r="A14" s="4" t="s">
        <v>7</v>
      </c>
      <c r="B14" s="4"/>
      <c r="C14" s="4"/>
      <c r="D14" s="39">
        <v>11000</v>
      </c>
      <c r="E14" s="4"/>
      <c r="F14" s="158"/>
      <c r="G14" s="9"/>
      <c r="H14" s="26">
        <v>44865</v>
      </c>
      <c r="I14" s="4">
        <v>5000</v>
      </c>
      <c r="J14" s="4"/>
      <c r="K14" s="217"/>
    </row>
    <row r="15" spans="1:11">
      <c r="A15" s="4" t="s">
        <v>8</v>
      </c>
      <c r="B15" s="4"/>
      <c r="C15" s="4"/>
      <c r="D15" s="39"/>
      <c r="E15" s="4"/>
      <c r="F15" s="158"/>
      <c r="G15" s="9"/>
      <c r="H15" s="26">
        <v>44872</v>
      </c>
      <c r="I15" s="4">
        <v>1000</v>
      </c>
      <c r="J15" s="4"/>
      <c r="K15" s="217"/>
    </row>
    <row r="16" spans="1:11">
      <c r="A16" s="4" t="s">
        <v>48</v>
      </c>
      <c r="B16" s="4"/>
      <c r="C16" s="4"/>
      <c r="D16" s="39"/>
      <c r="E16" s="4"/>
      <c r="F16" s="158"/>
      <c r="G16" s="9"/>
      <c r="H16" s="26">
        <v>44890</v>
      </c>
      <c r="I16" s="4">
        <v>500</v>
      </c>
      <c r="J16" s="4"/>
      <c r="K16" s="217"/>
    </row>
    <row r="17" spans="1:11">
      <c r="A17" s="2" t="s">
        <v>20</v>
      </c>
      <c r="B17" s="2"/>
      <c r="C17" s="2"/>
      <c r="D17" s="3"/>
      <c r="E17" s="2"/>
      <c r="F17" s="2"/>
      <c r="G17" s="9"/>
      <c r="H17" s="26">
        <v>44907</v>
      </c>
      <c r="I17" s="4">
        <v>20000</v>
      </c>
      <c r="J17" s="4"/>
      <c r="K17" s="217"/>
    </row>
    <row r="18" spans="1:11">
      <c r="A18" s="2" t="s">
        <v>31</v>
      </c>
      <c r="B18" s="2"/>
      <c r="C18" s="2"/>
      <c r="D18" s="3"/>
      <c r="E18" s="2"/>
      <c r="F18" s="2"/>
      <c r="G18" s="9"/>
      <c r="H18" s="306">
        <v>44963</v>
      </c>
      <c r="I18" s="207">
        <v>5000</v>
      </c>
      <c r="J18" s="207" t="s">
        <v>1152</v>
      </c>
      <c r="K18" s="243">
        <v>3</v>
      </c>
    </row>
    <row r="19" spans="1:11">
      <c r="A19" s="2"/>
      <c r="B19" s="2"/>
      <c r="C19" s="2"/>
      <c r="D19" s="3"/>
      <c r="E19" s="2"/>
      <c r="F19" s="2"/>
      <c r="G19" s="9"/>
      <c r="H19" s="26"/>
      <c r="I19" s="4"/>
      <c r="J19" s="4"/>
      <c r="K19" s="217"/>
    </row>
    <row r="20" spans="1:11">
      <c r="A20" s="2"/>
      <c r="B20" s="2"/>
      <c r="C20" s="2"/>
      <c r="D20" s="3"/>
      <c r="E20" s="2"/>
      <c r="F20" s="2"/>
      <c r="G20" s="9"/>
      <c r="H20" s="214"/>
      <c r="I20" s="215"/>
      <c r="J20" s="215"/>
      <c r="K20" s="217"/>
    </row>
    <row r="21" spans="1:11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  <c r="K21" s="217"/>
    </row>
    <row r="22" spans="1:11">
      <c r="A22" s="2"/>
      <c r="B22" s="2"/>
      <c r="C22" s="2"/>
      <c r="D22" s="3"/>
      <c r="E22" s="2"/>
      <c r="F22" s="2"/>
      <c r="G22" s="9"/>
      <c r="H22" s="26"/>
      <c r="I22" s="4"/>
      <c r="J22" s="4"/>
      <c r="K22" s="217"/>
    </row>
    <row r="23" spans="1:11">
      <c r="A23" s="297" t="s">
        <v>22</v>
      </c>
      <c r="B23" s="297"/>
      <c r="C23" s="5">
        <f>SUM(D4:D17)</f>
        <v>139264</v>
      </c>
      <c r="D23" s="3"/>
      <c r="E23" s="2"/>
      <c r="F23" s="2"/>
      <c r="G23" s="9"/>
      <c r="H23" s="26"/>
      <c r="I23" s="4"/>
      <c r="J23" s="4"/>
      <c r="K23" s="217"/>
    </row>
    <row r="24" spans="1:11">
      <c r="A24" s="297" t="s">
        <v>23</v>
      </c>
      <c r="B24" s="297"/>
      <c r="C24" s="4">
        <f>SUM(I4:I55)</f>
        <v>78000</v>
      </c>
      <c r="D24" s="3"/>
      <c r="E24" s="2"/>
      <c r="F24" s="2"/>
      <c r="G24" s="9"/>
      <c r="H24" s="26"/>
      <c r="I24" s="4"/>
      <c r="J24" s="4"/>
      <c r="K24" s="217"/>
    </row>
    <row r="25" spans="1:11">
      <c r="A25" s="297" t="s">
        <v>24</v>
      </c>
      <c r="B25" s="297"/>
      <c r="C25" s="18">
        <f>C23-C24</f>
        <v>61264</v>
      </c>
      <c r="D25" s="3"/>
      <c r="E25" s="2"/>
      <c r="F25" s="2"/>
      <c r="G25" s="9"/>
      <c r="H25" s="26"/>
      <c r="I25" s="4"/>
      <c r="J25" s="4"/>
      <c r="K25" s="217"/>
    </row>
    <row r="26" spans="1:11">
      <c r="A26" s="297" t="s">
        <v>25</v>
      </c>
      <c r="B26" s="297"/>
      <c r="C26" s="4" t="s">
        <v>12</v>
      </c>
      <c r="D26" s="3"/>
      <c r="E26" s="2"/>
      <c r="F26" s="2"/>
      <c r="G26" s="9"/>
      <c r="H26" s="26"/>
      <c r="I26" s="4"/>
      <c r="J26" s="4"/>
      <c r="K26" s="217"/>
    </row>
    <row r="27" spans="1:11">
      <c r="A27" s="2"/>
      <c r="B27" s="2"/>
      <c r="C27" s="2"/>
      <c r="D27" s="3"/>
      <c r="E27" s="2"/>
      <c r="F27" s="2"/>
      <c r="G27" s="9"/>
      <c r="H27" s="26"/>
      <c r="I27" s="4"/>
      <c r="J27" s="4"/>
      <c r="K27" s="217"/>
    </row>
    <row r="28" spans="1:11">
      <c r="A28" s="2"/>
      <c r="B28" s="2"/>
      <c r="C28" s="2"/>
      <c r="D28" s="3"/>
      <c r="E28" s="2"/>
      <c r="F28" s="2"/>
      <c r="G28" s="9"/>
      <c r="H28" s="26"/>
      <c r="I28" s="4"/>
      <c r="J28" s="4"/>
      <c r="K28" s="217"/>
    </row>
    <row r="29" spans="1:11">
      <c r="A29" s="2"/>
      <c r="B29" s="2"/>
      <c r="C29" s="2"/>
      <c r="D29" s="3"/>
      <c r="E29" s="2"/>
      <c r="F29" s="2"/>
      <c r="G29" s="9"/>
      <c r="H29" s="27"/>
      <c r="I29" s="4"/>
      <c r="J29" s="4"/>
      <c r="K29" s="217"/>
    </row>
    <row r="30" spans="1:11">
      <c r="A30" s="2"/>
      <c r="B30" s="2"/>
      <c r="C30" s="2"/>
      <c r="D30" s="3"/>
      <c r="E30" s="2"/>
      <c r="F30" s="2"/>
      <c r="G30" s="9"/>
      <c r="H30" s="26"/>
      <c r="I30" s="4"/>
      <c r="J30" s="4"/>
      <c r="K30" s="217"/>
    </row>
    <row r="31" spans="1:11">
      <c r="A31" s="2"/>
      <c r="B31" s="2"/>
      <c r="C31" s="2"/>
      <c r="D31" s="3"/>
      <c r="E31" s="2"/>
      <c r="F31" s="2"/>
      <c r="G31" s="9"/>
      <c r="H31" s="26"/>
      <c r="I31" s="4"/>
      <c r="J31" s="4"/>
      <c r="K31" s="217"/>
    </row>
    <row r="32" spans="1:11">
      <c r="A32" s="2"/>
      <c r="B32" s="2"/>
      <c r="C32" s="2"/>
      <c r="D32" s="3"/>
      <c r="E32" s="2"/>
      <c r="F32" s="2"/>
      <c r="G32" s="9"/>
      <c r="H32" s="26"/>
      <c r="I32" s="4"/>
      <c r="J32" s="4"/>
      <c r="K32" s="217"/>
    </row>
    <row r="33" spans="1:11">
      <c r="A33" s="2"/>
      <c r="B33" s="2"/>
      <c r="C33" s="2"/>
      <c r="D33" s="3"/>
      <c r="E33" s="2"/>
      <c r="F33" s="2"/>
      <c r="G33" s="9"/>
      <c r="H33" s="27"/>
      <c r="I33" s="4"/>
      <c r="J33" s="4"/>
      <c r="K33" s="217"/>
    </row>
    <row r="34" spans="1:11">
      <c r="A34" s="2"/>
      <c r="B34" s="2"/>
      <c r="C34" s="2"/>
      <c r="D34" s="3"/>
      <c r="E34" s="2"/>
      <c r="F34" s="2"/>
      <c r="G34" s="9"/>
      <c r="H34" s="26"/>
      <c r="I34" s="4"/>
      <c r="J34" s="4"/>
      <c r="K34" s="217"/>
    </row>
    <row r="35" spans="1:11">
      <c r="A35" s="2"/>
      <c r="B35" s="2"/>
      <c r="C35" s="2"/>
      <c r="D35" s="3"/>
      <c r="E35" s="2"/>
      <c r="F35" s="2"/>
      <c r="G35" s="9"/>
      <c r="H35" s="27"/>
      <c r="I35" s="4"/>
      <c r="J35" s="4"/>
      <c r="K35" s="217"/>
    </row>
  </sheetData>
  <mergeCells count="5"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20 H18">
      <formula1>25569</formula1>
      <formula2>54789</formula2>
    </dataValidation>
  </dataValidation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:L35"/>
  <sheetViews>
    <sheetView workbookViewId="0">
      <selection activeCell="L15" sqref="L15"/>
    </sheetView>
  </sheetViews>
  <sheetFormatPr defaultColWidth="8.7109375" defaultRowHeight="15"/>
  <cols>
    <col min="1" max="1" width="10.5703125" style="14" bestFit="1" customWidth="1"/>
    <col min="2" max="2" width="5.42578125" style="14" customWidth="1"/>
    <col min="3" max="3" width="7" style="43" bestFit="1" customWidth="1"/>
    <col min="4" max="4" width="7.85546875" style="43" customWidth="1"/>
    <col min="5" max="5" width="3.5703125" style="14" bestFit="1" customWidth="1"/>
    <col min="6" max="6" width="8.7109375" style="14"/>
    <col min="7" max="7" width="1.5703125" style="14" customWidth="1"/>
    <col min="8" max="8" width="14.5703125" style="14" bestFit="1" customWidth="1"/>
    <col min="9" max="9" width="14.5703125" style="29" bestFit="1" customWidth="1"/>
    <col min="10" max="10" width="10.42578125" style="14" bestFit="1" customWidth="1"/>
    <col min="11" max="11" width="13.5703125" style="14" customWidth="1"/>
    <col min="12" max="16384" width="8.7109375" style="14"/>
  </cols>
  <sheetData>
    <row r="1" spans="1:12">
      <c r="A1" s="232" t="s">
        <v>799</v>
      </c>
      <c r="B1" s="232"/>
      <c r="C1" s="232"/>
      <c r="D1" s="232"/>
      <c r="E1" s="232"/>
      <c r="F1" s="232"/>
      <c r="G1" s="232"/>
      <c r="H1" s="232"/>
      <c r="I1" s="232"/>
      <c r="J1" s="232" t="s">
        <v>1153</v>
      </c>
      <c r="K1" s="232"/>
    </row>
    <row r="2" spans="1:12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2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L3" s="14" t="s">
        <v>1151</v>
      </c>
    </row>
    <row r="4" spans="1:12">
      <c r="A4" s="6" t="s">
        <v>53</v>
      </c>
      <c r="B4" s="146" t="s">
        <v>583</v>
      </c>
      <c r="C4" s="146" t="s">
        <v>583</v>
      </c>
      <c r="D4" s="36">
        <v>110200</v>
      </c>
      <c r="E4" s="4"/>
      <c r="F4" s="4"/>
      <c r="G4" s="9"/>
      <c r="H4" s="24">
        <v>44676</v>
      </c>
      <c r="I4" s="23">
        <v>10000</v>
      </c>
      <c r="J4" s="4"/>
    </row>
    <row r="5" spans="1:12">
      <c r="A5" s="23" t="s">
        <v>44</v>
      </c>
      <c r="B5" s="23"/>
      <c r="C5" s="36"/>
      <c r="D5" s="39">
        <v>9800</v>
      </c>
      <c r="E5" s="23"/>
      <c r="F5" s="23"/>
      <c r="G5" s="9"/>
      <c r="H5" s="24">
        <v>44680</v>
      </c>
      <c r="I5" s="23">
        <v>20000</v>
      </c>
      <c r="J5" s="4"/>
    </row>
    <row r="6" spans="1:12">
      <c r="A6" s="23" t="s">
        <v>45</v>
      </c>
      <c r="B6" s="23"/>
      <c r="C6" s="39"/>
      <c r="D6" s="36">
        <v>1633</v>
      </c>
      <c r="E6" s="23"/>
      <c r="F6" s="6"/>
      <c r="G6" s="9"/>
      <c r="H6" s="24">
        <v>44685</v>
      </c>
      <c r="I6" s="4">
        <v>30000</v>
      </c>
      <c r="J6" s="4"/>
    </row>
    <row r="7" spans="1:12">
      <c r="A7" s="4" t="s">
        <v>0</v>
      </c>
      <c r="B7" s="4"/>
      <c r="C7" s="36"/>
      <c r="D7" s="36">
        <v>4250</v>
      </c>
      <c r="E7" s="23"/>
      <c r="G7" s="9"/>
      <c r="H7" s="26">
        <v>44783</v>
      </c>
      <c r="I7" s="4">
        <v>5000</v>
      </c>
      <c r="J7" s="4"/>
    </row>
    <row r="8" spans="1:12">
      <c r="A8" s="4" t="s">
        <v>1</v>
      </c>
      <c r="B8" s="4"/>
      <c r="C8" s="36"/>
      <c r="D8" s="36">
        <v>9800</v>
      </c>
      <c r="E8" s="23"/>
      <c r="F8" s="4"/>
      <c r="G8" s="9"/>
      <c r="H8" s="26">
        <v>44806</v>
      </c>
      <c r="I8" s="4">
        <v>5000</v>
      </c>
      <c r="J8" s="4"/>
    </row>
    <row r="9" spans="1:12">
      <c r="A9" s="4" t="s">
        <v>2</v>
      </c>
      <c r="B9" s="4"/>
      <c r="C9" s="36"/>
      <c r="D9" s="36">
        <v>9800</v>
      </c>
      <c r="E9" s="23"/>
      <c r="F9" s="30"/>
      <c r="G9" s="9"/>
      <c r="H9" s="26">
        <v>44894</v>
      </c>
      <c r="I9" s="4">
        <v>32000</v>
      </c>
      <c r="J9" s="4"/>
    </row>
    <row r="10" spans="1:12">
      <c r="A10" s="4" t="s">
        <v>3</v>
      </c>
      <c r="B10" s="4"/>
      <c r="C10" s="36"/>
      <c r="D10" s="36">
        <v>9800</v>
      </c>
      <c r="E10" s="23"/>
      <c r="F10" s="30"/>
      <c r="G10" s="9"/>
      <c r="H10" s="26">
        <v>44950</v>
      </c>
      <c r="I10" s="4">
        <v>38000</v>
      </c>
      <c r="J10" s="308"/>
      <c r="K10" s="243"/>
    </row>
    <row r="11" spans="1:12">
      <c r="A11" s="4" t="s">
        <v>4</v>
      </c>
      <c r="B11" s="4"/>
      <c r="C11" s="36"/>
      <c r="D11" s="36">
        <v>9800</v>
      </c>
      <c r="E11" s="23"/>
      <c r="F11" s="4"/>
      <c r="G11" s="306"/>
      <c r="H11" s="26">
        <v>44960</v>
      </c>
      <c r="I11" s="4">
        <v>2000</v>
      </c>
      <c r="J11" s="308" t="s">
        <v>1269</v>
      </c>
      <c r="K11" s="243">
        <v>101</v>
      </c>
    </row>
    <row r="12" spans="1:12">
      <c r="A12" s="4" t="s">
        <v>5</v>
      </c>
      <c r="B12" s="4"/>
      <c r="C12" s="36"/>
      <c r="D12" s="36">
        <v>9800</v>
      </c>
      <c r="E12" s="23"/>
      <c r="F12" s="4"/>
      <c r="G12" s="9"/>
      <c r="H12" s="26"/>
      <c r="I12" s="4"/>
      <c r="J12" s="4"/>
    </row>
    <row r="13" spans="1:12">
      <c r="A13" s="4" t="s">
        <v>6</v>
      </c>
      <c r="B13" s="4"/>
      <c r="C13" s="36"/>
      <c r="D13" s="36">
        <v>9800</v>
      </c>
      <c r="E13" s="23"/>
      <c r="F13" s="4"/>
      <c r="G13" s="9"/>
      <c r="H13" s="26"/>
      <c r="I13" s="4"/>
      <c r="J13" s="4"/>
    </row>
    <row r="14" spans="1:12">
      <c r="A14" s="4" t="s">
        <v>7</v>
      </c>
      <c r="B14" s="4"/>
      <c r="C14" s="36"/>
      <c r="D14" s="36">
        <v>9800</v>
      </c>
      <c r="E14" s="23"/>
      <c r="F14" s="4"/>
      <c r="G14" s="9"/>
      <c r="H14" s="25"/>
      <c r="I14" s="4"/>
      <c r="J14" s="4"/>
    </row>
    <row r="15" spans="1:12">
      <c r="A15" s="4" t="s">
        <v>8</v>
      </c>
      <c r="B15" s="4"/>
      <c r="C15" s="36"/>
      <c r="D15" s="36"/>
      <c r="E15" s="23"/>
      <c r="F15" s="4"/>
      <c r="G15" s="9"/>
      <c r="H15" s="26"/>
      <c r="I15" s="4"/>
      <c r="J15" s="4"/>
    </row>
    <row r="16" spans="1:12">
      <c r="A16" s="4" t="s">
        <v>48</v>
      </c>
      <c r="B16" s="4"/>
      <c r="C16" s="36"/>
      <c r="D16" s="36"/>
      <c r="E16" s="23"/>
      <c r="F16" s="4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4"/>
      <c r="G17" s="9"/>
      <c r="H17" s="27"/>
      <c r="I17" s="4"/>
      <c r="J17" s="4"/>
    </row>
    <row r="18" spans="1:10">
      <c r="A18" s="4" t="s">
        <v>31</v>
      </c>
      <c r="B18" s="4"/>
      <c r="C18" s="36"/>
      <c r="D18" s="36">
        <f>SUM(D4:D17)</f>
        <v>194483</v>
      </c>
      <c r="E18" s="4"/>
      <c r="F18" s="4"/>
      <c r="G18" s="9"/>
      <c r="H18" s="27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7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7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SUM(D4:D17)</f>
        <v>194483</v>
      </c>
      <c r="D23" s="37"/>
      <c r="E23" s="2"/>
      <c r="F23" s="2"/>
      <c r="G23" s="9"/>
      <c r="H23" s="26"/>
      <c r="I23" s="4"/>
      <c r="J23" s="4"/>
    </row>
    <row r="24" spans="1:10">
      <c r="A24" s="297" t="s">
        <v>23</v>
      </c>
      <c r="B24" s="297"/>
      <c r="C24" s="36">
        <f>SUM(I4:I51)</f>
        <v>142000</v>
      </c>
      <c r="D24" s="37"/>
      <c r="E24" s="2"/>
      <c r="F24" s="2"/>
      <c r="G24" s="9"/>
      <c r="H24" s="27"/>
      <c r="I24" s="4"/>
      <c r="J24" s="4"/>
    </row>
    <row r="25" spans="1:10">
      <c r="A25" s="297" t="s">
        <v>24</v>
      </c>
      <c r="B25" s="297"/>
      <c r="C25" s="36">
        <f>C23-C24</f>
        <v>52483</v>
      </c>
      <c r="D25" s="37"/>
      <c r="E25" s="2"/>
      <c r="F25" s="2"/>
      <c r="G25" s="9"/>
      <c r="H25" s="27"/>
      <c r="I25" s="4"/>
      <c r="J25" s="4"/>
    </row>
    <row r="26" spans="1:10">
      <c r="A26" s="297" t="s">
        <v>25</v>
      </c>
      <c r="B26" s="297"/>
      <c r="C26" s="36"/>
      <c r="D26" s="37"/>
      <c r="E26" s="2"/>
      <c r="F26" s="2"/>
      <c r="G26" s="9"/>
      <c r="H26" s="26"/>
      <c r="I26" s="4"/>
      <c r="J26" s="4"/>
    </row>
    <row r="27" spans="1:10">
      <c r="A27" s="2"/>
      <c r="B27" s="2"/>
      <c r="C27" s="37"/>
      <c r="D27" s="37"/>
      <c r="E27" s="2"/>
      <c r="F27" s="2"/>
      <c r="G27" s="9"/>
      <c r="H27" s="26"/>
      <c r="I27" s="4"/>
      <c r="J27" s="4"/>
    </row>
    <row r="28" spans="1:10">
      <c r="A28" s="2"/>
      <c r="B28" s="2"/>
      <c r="C28" s="37"/>
      <c r="D28" s="37"/>
      <c r="E28" s="2"/>
      <c r="F28" s="2"/>
      <c r="G28" s="9"/>
      <c r="H28" s="27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7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6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6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6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:K32"/>
  <sheetViews>
    <sheetView workbookViewId="0">
      <selection activeCell="E14" sqref="E14"/>
    </sheetView>
  </sheetViews>
  <sheetFormatPr defaultColWidth="8.7109375" defaultRowHeight="15"/>
  <cols>
    <col min="1" max="1" width="10.42578125" style="14" customWidth="1"/>
    <col min="2" max="2" width="8.42578125" style="14" customWidth="1"/>
    <col min="3" max="3" width="6.85546875" style="43" bestFit="1" customWidth="1"/>
    <col min="4" max="4" width="5.85546875" style="43" bestFit="1" customWidth="1"/>
    <col min="5" max="5" width="5" style="14" bestFit="1" customWidth="1"/>
    <col min="6" max="6" width="8.7109375" style="14"/>
    <col min="7" max="7" width="1.7109375" style="14" customWidth="1"/>
    <col min="8" max="8" width="14.5703125" style="29" bestFit="1" customWidth="1"/>
    <col min="9" max="9" width="7.5703125" style="14" bestFit="1" customWidth="1"/>
    <col min="10" max="10" width="16.42578125" style="14" customWidth="1"/>
    <col min="11" max="16384" width="8.7109375" style="14"/>
  </cols>
  <sheetData>
    <row r="1" spans="1:11">
      <c r="A1" s="208" t="s">
        <v>800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>
      <c r="A4" s="6" t="s">
        <v>53</v>
      </c>
      <c r="B4" s="146" t="s">
        <v>583</v>
      </c>
      <c r="C4" s="146" t="s">
        <v>583</v>
      </c>
      <c r="D4" s="36">
        <v>11505</v>
      </c>
      <c r="E4" s="4"/>
      <c r="F4" s="4"/>
      <c r="G4" s="9"/>
      <c r="H4" s="24">
        <v>44677</v>
      </c>
      <c r="I4" s="23">
        <v>2500</v>
      </c>
      <c r="J4" s="4"/>
    </row>
    <row r="5" spans="1:11">
      <c r="A5" s="23" t="s">
        <v>44</v>
      </c>
      <c r="B5" s="23"/>
      <c r="C5" s="39"/>
      <c r="D5" s="39">
        <v>4000</v>
      </c>
      <c r="E5" s="23"/>
      <c r="F5" s="23"/>
      <c r="G5" s="9"/>
      <c r="H5" s="24">
        <v>44681</v>
      </c>
      <c r="I5" s="23">
        <v>5000</v>
      </c>
      <c r="J5" s="4"/>
    </row>
    <row r="6" spans="1:11" s="109" customFormat="1">
      <c r="A6" s="111" t="s">
        <v>45</v>
      </c>
      <c r="B6" s="111"/>
      <c r="C6" s="114"/>
      <c r="D6" s="114">
        <v>933</v>
      </c>
      <c r="E6" s="111"/>
      <c r="F6" s="111"/>
      <c r="G6" s="9"/>
      <c r="H6" s="110">
        <v>44781</v>
      </c>
      <c r="I6" s="111">
        <v>1000</v>
      </c>
      <c r="J6" s="6"/>
    </row>
    <row r="7" spans="1:11">
      <c r="A7" s="4" t="s">
        <v>0</v>
      </c>
      <c r="B7" s="4"/>
      <c r="C7" s="39"/>
      <c r="D7" s="36">
        <v>1466</v>
      </c>
      <c r="E7" s="4"/>
      <c r="F7" s="6"/>
      <c r="G7" s="9"/>
      <c r="H7" s="26">
        <v>44783</v>
      </c>
      <c r="I7" s="4">
        <v>3000</v>
      </c>
      <c r="J7" s="4"/>
    </row>
    <row r="8" spans="1:11">
      <c r="A8" s="4" t="s">
        <v>1</v>
      </c>
      <c r="B8" s="4"/>
      <c r="C8" s="39"/>
      <c r="D8" s="36">
        <v>5000</v>
      </c>
      <c r="E8" s="4"/>
      <c r="F8" s="7"/>
      <c r="G8" s="9"/>
      <c r="H8" s="26">
        <v>44789</v>
      </c>
      <c r="I8" s="4">
        <v>5000</v>
      </c>
      <c r="J8" s="4"/>
    </row>
    <row r="9" spans="1:11">
      <c r="A9" s="4" t="s">
        <v>2</v>
      </c>
      <c r="B9" s="4"/>
      <c r="C9" s="39"/>
      <c r="D9" s="36">
        <v>5000</v>
      </c>
      <c r="E9" s="4"/>
      <c r="F9" s="7"/>
      <c r="G9" s="9"/>
      <c r="H9" s="26">
        <v>44803</v>
      </c>
      <c r="I9" s="4">
        <v>5000</v>
      </c>
      <c r="J9" s="4"/>
    </row>
    <row r="10" spans="1:11">
      <c r="A10" s="4" t="s">
        <v>3</v>
      </c>
      <c r="B10" s="4"/>
      <c r="C10" s="39"/>
      <c r="D10" s="36">
        <v>5000</v>
      </c>
      <c r="E10" s="4"/>
      <c r="F10" s="15"/>
      <c r="G10" s="9"/>
      <c r="H10" s="26">
        <v>44803</v>
      </c>
      <c r="I10" s="4">
        <v>1100</v>
      </c>
      <c r="J10" s="4"/>
    </row>
    <row r="11" spans="1:11">
      <c r="A11" s="4" t="s">
        <v>4</v>
      </c>
      <c r="B11" s="4"/>
      <c r="C11" s="39"/>
      <c r="D11" s="36">
        <v>4833</v>
      </c>
      <c r="E11" s="4"/>
      <c r="F11" s="7"/>
      <c r="G11" s="9"/>
      <c r="H11" s="24">
        <v>44854</v>
      </c>
      <c r="I11" s="23">
        <v>5000</v>
      </c>
      <c r="J11" s="4"/>
    </row>
    <row r="12" spans="1:11">
      <c r="A12" s="4" t="s">
        <v>5</v>
      </c>
      <c r="B12" s="4"/>
      <c r="C12" s="39"/>
      <c r="D12" s="36">
        <v>4833</v>
      </c>
      <c r="E12" s="4"/>
      <c r="F12" s="7"/>
      <c r="G12" s="9"/>
      <c r="H12" s="26">
        <v>44894</v>
      </c>
      <c r="I12" s="4">
        <v>5000</v>
      </c>
      <c r="J12" s="4"/>
    </row>
    <row r="13" spans="1:11">
      <c r="A13" s="4" t="s">
        <v>6</v>
      </c>
      <c r="B13" s="4"/>
      <c r="C13" s="39"/>
      <c r="D13" s="36">
        <v>4833</v>
      </c>
      <c r="E13" s="4"/>
      <c r="F13" s="7"/>
      <c r="G13" s="9"/>
      <c r="H13" s="26">
        <v>44906</v>
      </c>
      <c r="I13" s="4">
        <v>5000</v>
      </c>
      <c r="J13" s="4"/>
    </row>
    <row r="14" spans="1:11">
      <c r="A14" s="4" t="s">
        <v>7</v>
      </c>
      <c r="B14" s="4"/>
      <c r="C14" s="39"/>
      <c r="D14" s="36">
        <v>4500</v>
      </c>
      <c r="E14" s="4"/>
      <c r="F14" s="7"/>
      <c r="G14" s="9"/>
      <c r="H14" s="26">
        <v>44919</v>
      </c>
      <c r="I14" s="4">
        <v>5000</v>
      </c>
      <c r="J14" s="4"/>
    </row>
    <row r="15" spans="1:11">
      <c r="A15" s="4" t="s">
        <v>8</v>
      </c>
      <c r="B15" s="4"/>
      <c r="C15" s="39"/>
      <c r="D15" s="36"/>
      <c r="E15" s="4"/>
      <c r="F15" s="4"/>
      <c r="G15" s="9"/>
      <c r="H15" s="306">
        <v>44966</v>
      </c>
      <c r="I15" s="207">
        <v>5000</v>
      </c>
      <c r="J15" s="207" t="s">
        <v>1166</v>
      </c>
      <c r="K15" s="243">
        <v>14</v>
      </c>
    </row>
    <row r="16" spans="1:11">
      <c r="A16" s="4" t="s">
        <v>48</v>
      </c>
      <c r="B16" s="4"/>
      <c r="C16" s="39"/>
      <c r="D16" s="36"/>
      <c r="E16" s="4"/>
      <c r="F16" s="4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4"/>
      <c r="G17" s="9"/>
      <c r="H17" s="27"/>
      <c r="I17" s="4"/>
      <c r="J17" s="4"/>
    </row>
    <row r="18" spans="1:10">
      <c r="A18" s="4" t="s">
        <v>31</v>
      </c>
      <c r="B18" s="4"/>
      <c r="C18" s="36"/>
      <c r="D18" s="36">
        <f>SUM(D4:D17)</f>
        <v>51903</v>
      </c>
      <c r="E18" s="4"/>
      <c r="F18" s="4"/>
      <c r="G18" s="9"/>
      <c r="H18" s="27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7"/>
      <c r="I19" s="36"/>
      <c r="J19" s="4"/>
    </row>
    <row r="20" spans="1:10">
      <c r="A20" s="2"/>
      <c r="B20" s="2"/>
      <c r="C20" s="37"/>
      <c r="D20" s="37"/>
      <c r="E20" s="2"/>
      <c r="F20" s="2"/>
      <c r="G20" s="9"/>
      <c r="H20" s="27"/>
      <c r="I20" s="36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51903</v>
      </c>
      <c r="D23" s="37"/>
      <c r="E23" s="2"/>
      <c r="F23" s="2"/>
      <c r="G23" s="9"/>
      <c r="H23" s="26"/>
      <c r="I23" s="4"/>
      <c r="J23" s="4"/>
    </row>
    <row r="24" spans="1:10">
      <c r="A24" s="297" t="s">
        <v>23</v>
      </c>
      <c r="B24" s="297"/>
      <c r="C24" s="36">
        <f>SUM(I4:I32)</f>
        <v>47600</v>
      </c>
      <c r="D24" s="37"/>
      <c r="E24" s="2"/>
      <c r="F24" s="2"/>
      <c r="G24" s="9"/>
      <c r="H24" s="27"/>
      <c r="I24" s="4"/>
      <c r="J24" s="4"/>
    </row>
    <row r="25" spans="1:10">
      <c r="A25" s="297" t="s">
        <v>24</v>
      </c>
      <c r="B25" s="297"/>
      <c r="C25" s="36">
        <f>C23-C24</f>
        <v>4303</v>
      </c>
      <c r="D25" s="37"/>
      <c r="E25" s="2"/>
      <c r="F25" s="2"/>
      <c r="G25" s="9"/>
      <c r="H25" s="27"/>
      <c r="I25" s="4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6"/>
      <c r="I26" s="4"/>
      <c r="J26" s="4"/>
    </row>
    <row r="27" spans="1:10">
      <c r="A27" s="2"/>
      <c r="B27" s="2"/>
      <c r="C27" s="37"/>
      <c r="D27" s="37"/>
      <c r="E27" s="2"/>
      <c r="F27" s="2"/>
      <c r="G27" s="9"/>
      <c r="H27" s="26"/>
      <c r="I27" s="4"/>
      <c r="J27" s="4"/>
    </row>
    <row r="28" spans="1:10">
      <c r="A28" s="2"/>
      <c r="B28" s="2"/>
      <c r="C28" s="37"/>
      <c r="D28" s="37"/>
      <c r="E28" s="2"/>
      <c r="F28" s="2"/>
      <c r="G28" s="9"/>
      <c r="H28" s="27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7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6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6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6"/>
      <c r="I32" s="4"/>
      <c r="J32" s="4"/>
    </row>
  </sheetData>
  <mergeCells count="5"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15">
      <formula1>25569</formula1>
      <formula2>54789</formula2>
    </dataValidation>
  </dataValidation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9"/>
  <dimension ref="A1:K35"/>
  <sheetViews>
    <sheetView workbookViewId="0">
      <selection activeCell="E14" sqref="E14"/>
    </sheetView>
  </sheetViews>
  <sheetFormatPr defaultColWidth="8.7109375" defaultRowHeight="15"/>
  <cols>
    <col min="1" max="1" width="9.28515625" style="14" customWidth="1"/>
    <col min="2" max="2" width="9.7109375" style="14" customWidth="1"/>
    <col min="3" max="3" width="8.42578125" style="14" bestFit="1" customWidth="1"/>
    <col min="4" max="4" width="5.85546875" style="43" bestFit="1" customWidth="1"/>
    <col min="5" max="5" width="3.5703125" style="43" bestFit="1" customWidth="1"/>
    <col min="6" max="6" width="8.7109375" style="14"/>
    <col min="7" max="7" width="1.57031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801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10" t="s">
        <v>14</v>
      </c>
      <c r="D3" s="40" t="s">
        <v>449</v>
      </c>
      <c r="E3" s="4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>
      <c r="A4" s="6" t="s">
        <v>53</v>
      </c>
      <c r="B4" s="146" t="s">
        <v>583</v>
      </c>
      <c r="C4" s="146" t="s">
        <v>583</v>
      </c>
      <c r="D4" s="36">
        <v>47625</v>
      </c>
      <c r="E4" s="36"/>
      <c r="F4" s="7"/>
      <c r="G4" s="9"/>
      <c r="H4" s="26">
        <v>44656</v>
      </c>
      <c r="I4" s="23">
        <v>20000</v>
      </c>
      <c r="J4" s="4"/>
    </row>
    <row r="5" spans="1:11">
      <c r="A5" s="23" t="s">
        <v>44</v>
      </c>
      <c r="B5" s="23"/>
      <c r="C5" s="23"/>
      <c r="D5" s="36">
        <v>1250</v>
      </c>
      <c r="E5" s="39"/>
      <c r="F5" s="23"/>
      <c r="G5" s="9"/>
      <c r="H5" s="26">
        <v>44762</v>
      </c>
      <c r="I5" s="23">
        <v>5000</v>
      </c>
      <c r="J5" s="4"/>
    </row>
    <row r="6" spans="1:11">
      <c r="A6" s="23" t="s">
        <v>45</v>
      </c>
      <c r="B6" s="23"/>
      <c r="C6" s="23"/>
      <c r="D6" s="36">
        <v>2500</v>
      </c>
      <c r="E6" s="39"/>
      <c r="F6" s="23"/>
      <c r="G6" s="9"/>
      <c r="H6" s="26">
        <v>44783</v>
      </c>
      <c r="I6" s="23">
        <v>5000</v>
      </c>
      <c r="J6" s="4"/>
    </row>
    <row r="7" spans="1:11">
      <c r="A7" s="4" t="s">
        <v>0</v>
      </c>
      <c r="B7" s="23"/>
      <c r="C7" s="23"/>
      <c r="D7" s="36">
        <v>2000</v>
      </c>
      <c r="E7" s="36"/>
      <c r="F7" s="8"/>
      <c r="G7" s="9"/>
      <c r="H7" s="26">
        <v>44793</v>
      </c>
      <c r="I7" s="23">
        <v>10000</v>
      </c>
      <c r="J7" s="4"/>
    </row>
    <row r="8" spans="1:11">
      <c r="A8" s="4" t="s">
        <v>1</v>
      </c>
      <c r="B8" s="23"/>
      <c r="C8" s="23"/>
      <c r="D8" s="36">
        <v>8500</v>
      </c>
      <c r="E8" s="36"/>
      <c r="F8" s="7"/>
      <c r="G8" s="9"/>
      <c r="H8" s="24">
        <v>44804</v>
      </c>
      <c r="I8" s="23">
        <v>10000</v>
      </c>
      <c r="J8" s="4"/>
    </row>
    <row r="9" spans="1:11">
      <c r="A9" s="4" t="s">
        <v>2</v>
      </c>
      <c r="B9" s="23"/>
      <c r="C9" s="23"/>
      <c r="D9" s="36">
        <v>8500</v>
      </c>
      <c r="E9" s="36"/>
      <c r="F9" s="15"/>
      <c r="G9" s="9"/>
      <c r="H9" s="24">
        <v>44857</v>
      </c>
      <c r="I9" s="23">
        <v>10000</v>
      </c>
      <c r="J9" s="4"/>
    </row>
    <row r="10" spans="1:11">
      <c r="A10" s="4" t="s">
        <v>3</v>
      </c>
      <c r="B10" s="23"/>
      <c r="C10" s="23"/>
      <c r="D10" s="36">
        <v>8500</v>
      </c>
      <c r="E10" s="36"/>
      <c r="F10" s="15"/>
      <c r="G10" s="9"/>
      <c r="H10" s="24"/>
      <c r="I10" s="23"/>
      <c r="J10" s="4"/>
    </row>
    <row r="11" spans="1:11">
      <c r="A11" s="4" t="s">
        <v>4</v>
      </c>
      <c r="B11" s="4"/>
      <c r="C11" s="4"/>
      <c r="D11" s="4">
        <v>8216</v>
      </c>
      <c r="E11" s="36"/>
      <c r="F11" s="7"/>
      <c r="G11" s="9"/>
      <c r="H11" s="25"/>
      <c r="I11" s="23"/>
      <c r="J11" s="4"/>
    </row>
    <row r="12" spans="1:11">
      <c r="A12" s="4" t="s">
        <v>5</v>
      </c>
      <c r="B12" s="4"/>
      <c r="C12" s="4"/>
      <c r="D12" s="4">
        <v>8500</v>
      </c>
      <c r="E12" s="36"/>
      <c r="F12" s="7"/>
      <c r="G12" s="9"/>
      <c r="H12" s="25"/>
      <c r="I12" s="23"/>
      <c r="J12" s="4"/>
    </row>
    <row r="13" spans="1:11">
      <c r="A13" s="4" t="s">
        <v>6</v>
      </c>
      <c r="B13" s="4"/>
      <c r="C13" s="4"/>
      <c r="D13" s="4">
        <v>8500</v>
      </c>
      <c r="E13" s="36"/>
      <c r="F13" s="7"/>
      <c r="G13" s="9"/>
      <c r="H13" s="27"/>
      <c r="I13" s="4"/>
      <c r="J13" s="4"/>
    </row>
    <row r="14" spans="1:11">
      <c r="A14" s="4" t="s">
        <v>7</v>
      </c>
      <c r="B14" s="4"/>
      <c r="C14" s="4"/>
      <c r="D14" s="4">
        <v>8500</v>
      </c>
      <c r="E14" s="36"/>
      <c r="F14" s="4"/>
      <c r="G14" s="9"/>
      <c r="H14" s="26"/>
      <c r="I14" s="4"/>
      <c r="J14" s="4"/>
    </row>
    <row r="15" spans="1:11">
      <c r="A15" s="23" t="s">
        <v>8</v>
      </c>
      <c r="B15" s="4"/>
      <c r="C15" s="4"/>
      <c r="D15" s="36"/>
      <c r="E15" s="36"/>
      <c r="F15" s="23"/>
      <c r="G15" s="9"/>
      <c r="H15" s="26"/>
      <c r="I15" s="4"/>
      <c r="J15" s="4"/>
    </row>
    <row r="16" spans="1:11">
      <c r="A16" s="23" t="s">
        <v>48</v>
      </c>
      <c r="B16" s="4"/>
      <c r="C16" s="4"/>
      <c r="D16" s="36"/>
      <c r="E16" s="36"/>
      <c r="F16" s="23"/>
      <c r="G16" s="9"/>
      <c r="H16" s="26"/>
      <c r="I16" s="4"/>
      <c r="J16" s="4"/>
    </row>
    <row r="17" spans="1:10">
      <c r="A17" s="4" t="s">
        <v>20</v>
      </c>
      <c r="B17" s="4"/>
      <c r="C17" s="4"/>
      <c r="D17" s="36"/>
      <c r="E17" s="36"/>
      <c r="F17" s="7"/>
      <c r="G17" s="9"/>
      <c r="H17" s="26"/>
      <c r="I17" s="4"/>
      <c r="J17" s="4"/>
    </row>
    <row r="18" spans="1:10">
      <c r="A18" s="4" t="s">
        <v>19</v>
      </c>
      <c r="B18" s="4"/>
      <c r="C18" s="4"/>
      <c r="D18" s="66">
        <f>SUM(D4:D17)</f>
        <v>112591</v>
      </c>
      <c r="E18" s="36"/>
      <c r="F18" s="7"/>
      <c r="G18" s="9"/>
      <c r="H18" s="26"/>
      <c r="I18" s="4"/>
      <c r="J18" s="4"/>
    </row>
    <row r="19" spans="1:10">
      <c r="A19" s="2"/>
      <c r="B19" s="2"/>
      <c r="C19" s="2"/>
      <c r="D19" s="37"/>
      <c r="E19" s="37"/>
      <c r="F19" s="2"/>
      <c r="G19" s="9"/>
      <c r="H19" s="26"/>
      <c r="I19" s="4"/>
      <c r="J19" s="4"/>
    </row>
    <row r="20" spans="1:10">
      <c r="A20" s="2"/>
      <c r="B20" s="2"/>
      <c r="C20" s="2"/>
      <c r="D20" s="37"/>
      <c r="E20" s="37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2"/>
      <c r="D22" s="37"/>
      <c r="E22" s="37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112591</v>
      </c>
      <c r="D23" s="37"/>
      <c r="E23" s="37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60000</v>
      </c>
      <c r="D24" s="37"/>
      <c r="E24" s="37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52591</v>
      </c>
      <c r="D25" s="37"/>
      <c r="E25" s="37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4" t="s">
        <v>12</v>
      </c>
      <c r="D26" s="37"/>
      <c r="E26" s="37"/>
      <c r="F26" s="2"/>
      <c r="G26" s="9"/>
      <c r="H26" s="25"/>
      <c r="I26" s="23"/>
      <c r="J26" s="4"/>
    </row>
    <row r="27" spans="1:10">
      <c r="A27" s="2"/>
      <c r="B27" s="2"/>
      <c r="C27" s="2"/>
      <c r="D27" s="37"/>
      <c r="E27" s="37"/>
      <c r="F27" s="2"/>
      <c r="G27" s="9"/>
      <c r="H27" s="24"/>
      <c r="I27" s="23"/>
      <c r="J27" s="4"/>
    </row>
    <row r="28" spans="1:10">
      <c r="A28" s="2"/>
      <c r="B28" s="2"/>
      <c r="C28" s="2"/>
      <c r="D28" s="37"/>
      <c r="E28" s="37"/>
      <c r="F28" s="2"/>
      <c r="G28" s="9"/>
      <c r="H28" s="26"/>
      <c r="I28" s="4"/>
      <c r="J28" s="4"/>
    </row>
    <row r="29" spans="1:10">
      <c r="A29" s="2"/>
      <c r="B29" s="2"/>
      <c r="C29" s="2"/>
      <c r="D29" s="37"/>
      <c r="E29" s="37"/>
      <c r="F29" s="2"/>
      <c r="G29" s="9"/>
      <c r="H29" s="26"/>
      <c r="I29" s="4"/>
      <c r="J29" s="4"/>
    </row>
    <row r="30" spans="1:10">
      <c r="A30" s="2"/>
      <c r="B30" s="2"/>
      <c r="C30" s="2"/>
      <c r="D30" s="37"/>
      <c r="E30" s="37"/>
      <c r="F30" s="2"/>
      <c r="G30" s="9"/>
      <c r="H30" s="27"/>
      <c r="I30" s="4"/>
      <c r="J30" s="4"/>
    </row>
    <row r="31" spans="1:10">
      <c r="A31" s="2"/>
      <c r="B31" s="2"/>
      <c r="C31" s="2"/>
      <c r="D31" s="37"/>
      <c r="E31" s="37"/>
      <c r="F31" s="2"/>
      <c r="G31" s="9"/>
      <c r="H31" s="27"/>
      <c r="I31" s="4"/>
      <c r="J31" s="4"/>
    </row>
    <row r="32" spans="1:10">
      <c r="A32" s="2"/>
      <c r="B32" s="2"/>
      <c r="C32" s="2"/>
      <c r="D32" s="37"/>
      <c r="E32" s="37"/>
      <c r="F32" s="2"/>
      <c r="G32" s="9"/>
      <c r="H32" s="27"/>
      <c r="I32" s="4"/>
      <c r="J32" s="4"/>
    </row>
    <row r="33" spans="1:10">
      <c r="A33" s="2"/>
      <c r="B33" s="2"/>
      <c r="C33" s="2"/>
      <c r="D33" s="37"/>
      <c r="E33" s="37"/>
      <c r="F33" s="2"/>
      <c r="G33" s="9"/>
      <c r="H33" s="27"/>
      <c r="I33" s="4"/>
      <c r="J33" s="4"/>
    </row>
    <row r="34" spans="1:10">
      <c r="A34" s="2"/>
      <c r="B34" s="2"/>
      <c r="C34" s="2"/>
      <c r="D34" s="37"/>
      <c r="E34" s="37"/>
      <c r="F34" s="2"/>
      <c r="G34" s="9"/>
      <c r="H34" s="27"/>
      <c r="I34" s="4"/>
      <c r="J34" s="4"/>
    </row>
    <row r="35" spans="1:10">
      <c r="A35" s="2"/>
      <c r="B35" s="2"/>
      <c r="C35" s="2"/>
      <c r="D35" s="37"/>
      <c r="E35" s="37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0"/>
  <dimension ref="A1:K35"/>
  <sheetViews>
    <sheetView workbookViewId="0">
      <selection activeCell="M18" sqref="M18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5.85546875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4.570312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802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</row>
    <row r="4" spans="1:11" ht="30">
      <c r="A4" s="6" t="s">
        <v>53</v>
      </c>
      <c r="B4" s="4" t="s">
        <v>12</v>
      </c>
      <c r="C4" s="4" t="s">
        <v>12</v>
      </c>
      <c r="D4" s="36">
        <v>19498</v>
      </c>
      <c r="E4" s="4"/>
      <c r="F4" s="7"/>
      <c r="G4" s="9"/>
      <c r="H4" s="26">
        <v>44676</v>
      </c>
      <c r="I4" s="23">
        <v>5000</v>
      </c>
      <c r="J4" s="4"/>
    </row>
    <row r="5" spans="1:11">
      <c r="A5" s="23" t="s">
        <v>44</v>
      </c>
      <c r="B5" s="4"/>
      <c r="C5" s="4"/>
      <c r="D5" s="36">
        <v>4833</v>
      </c>
      <c r="E5" s="23"/>
      <c r="F5" s="23"/>
      <c r="G5" s="9"/>
      <c r="H5" s="26">
        <v>44681</v>
      </c>
      <c r="I5" s="23">
        <v>5000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44758</v>
      </c>
      <c r="I6" s="23">
        <v>5000</v>
      </c>
      <c r="J6" s="4"/>
    </row>
    <row r="7" spans="1:11">
      <c r="A7" s="4" t="s">
        <v>0</v>
      </c>
      <c r="B7" s="4"/>
      <c r="C7" s="4"/>
      <c r="D7" s="4">
        <v>1333</v>
      </c>
      <c r="E7" s="4"/>
      <c r="F7" s="8"/>
      <c r="G7" s="9"/>
      <c r="H7" s="26">
        <v>44783</v>
      </c>
      <c r="I7" s="23">
        <v>5000</v>
      </c>
      <c r="J7" s="4"/>
    </row>
    <row r="8" spans="1:11">
      <c r="A8" s="4" t="s">
        <v>1</v>
      </c>
      <c r="B8" s="4"/>
      <c r="C8" s="4"/>
      <c r="D8" s="4">
        <v>7000</v>
      </c>
      <c r="E8" s="4"/>
      <c r="F8" s="7"/>
      <c r="G8" s="9"/>
      <c r="H8" s="24">
        <v>44806</v>
      </c>
      <c r="I8" s="23">
        <v>3000</v>
      </c>
      <c r="J8" s="4"/>
    </row>
    <row r="9" spans="1:11">
      <c r="A9" s="4" t="s">
        <v>2</v>
      </c>
      <c r="B9" s="4"/>
      <c r="C9" s="4"/>
      <c r="D9" s="4">
        <v>7000</v>
      </c>
      <c r="E9" s="4"/>
      <c r="F9" s="15"/>
      <c r="G9" s="9"/>
      <c r="H9" s="24">
        <v>44818</v>
      </c>
      <c r="I9" s="23">
        <v>2000</v>
      </c>
      <c r="J9" s="4"/>
    </row>
    <row r="10" spans="1:11">
      <c r="A10" s="4" t="s">
        <v>3</v>
      </c>
      <c r="B10" s="4"/>
      <c r="C10" s="4"/>
      <c r="D10" s="4">
        <v>7000</v>
      </c>
      <c r="E10" s="4"/>
      <c r="F10" s="15"/>
      <c r="G10" s="9"/>
      <c r="H10" s="24">
        <v>44865</v>
      </c>
      <c r="I10" s="23">
        <v>10000</v>
      </c>
      <c r="J10" s="4"/>
    </row>
    <row r="11" spans="1:11">
      <c r="A11" s="4" t="s">
        <v>4</v>
      </c>
      <c r="B11" s="4"/>
      <c r="C11" s="4"/>
      <c r="D11" s="4">
        <v>6650</v>
      </c>
      <c r="E11" s="4"/>
      <c r="F11" s="7"/>
      <c r="G11" s="9"/>
      <c r="H11" s="306">
        <v>44961</v>
      </c>
      <c r="I11" s="308">
        <v>10000</v>
      </c>
      <c r="J11" s="308" t="s">
        <v>1270</v>
      </c>
      <c r="K11" s="243">
        <v>102</v>
      </c>
    </row>
    <row r="12" spans="1:11">
      <c r="A12" s="4" t="s">
        <v>5</v>
      </c>
      <c r="B12" s="4"/>
      <c r="C12" s="4"/>
      <c r="D12" s="4">
        <v>7000</v>
      </c>
      <c r="E12" s="4"/>
      <c r="F12" s="7"/>
      <c r="G12" s="9"/>
      <c r="H12" s="306"/>
      <c r="I12" s="308"/>
      <c r="J12" s="308"/>
      <c r="K12" s="243"/>
    </row>
    <row r="13" spans="1:11">
      <c r="A13" s="4" t="s">
        <v>6</v>
      </c>
      <c r="B13" s="4"/>
      <c r="C13" s="4"/>
      <c r="D13" s="4">
        <v>7000</v>
      </c>
      <c r="E13" s="4"/>
      <c r="F13" s="7"/>
      <c r="G13" s="9"/>
      <c r="H13" s="24"/>
      <c r="I13" s="23"/>
      <c r="J13" s="4"/>
    </row>
    <row r="14" spans="1:11">
      <c r="A14" s="4" t="s">
        <v>7</v>
      </c>
      <c r="B14" s="4"/>
      <c r="C14" s="4"/>
      <c r="D14" s="4">
        <v>7000</v>
      </c>
      <c r="E14" s="4"/>
      <c r="F14" s="7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7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23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7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74314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74314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45000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29314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K35"/>
  <sheetViews>
    <sheetView workbookViewId="0">
      <selection activeCell="E14" sqref="E14"/>
    </sheetView>
  </sheetViews>
  <sheetFormatPr defaultRowHeight="15"/>
  <cols>
    <col min="3" max="4" width="9.28515625" bestFit="1" customWidth="1"/>
    <col min="6" max="6" width="13.28515625" bestFit="1" customWidth="1"/>
    <col min="8" max="8" width="14.5703125" bestFit="1" customWidth="1"/>
    <col min="9" max="9" width="9.28515625" bestFit="1" customWidth="1"/>
  </cols>
  <sheetData>
    <row r="1" spans="1:11">
      <c r="A1" s="208" t="s">
        <v>1099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234" t="s">
        <v>1151</v>
      </c>
    </row>
    <row r="4" spans="1:11">
      <c r="A4" s="6" t="s">
        <v>53</v>
      </c>
      <c r="B4" s="4" t="s">
        <v>12</v>
      </c>
      <c r="C4" s="4" t="s">
        <v>12</v>
      </c>
      <c r="D4" s="36"/>
      <c r="E4" s="4"/>
      <c r="F4" s="7"/>
      <c r="G4" s="9"/>
      <c r="H4" s="26">
        <v>44681</v>
      </c>
      <c r="I4" s="23">
        <v>1000</v>
      </c>
      <c r="J4" s="4" t="s">
        <v>1101</v>
      </c>
    </row>
    <row r="5" spans="1:11">
      <c r="A5" s="23" t="s">
        <v>44</v>
      </c>
      <c r="B5" s="4"/>
      <c r="C5" s="4"/>
      <c r="D5" s="36">
        <v>1000</v>
      </c>
      <c r="E5" s="23"/>
      <c r="F5" s="23" t="s">
        <v>1100</v>
      </c>
      <c r="G5" s="9"/>
      <c r="H5" s="26">
        <v>44855</v>
      </c>
      <c r="I5" s="23">
        <v>2000</v>
      </c>
      <c r="J5" s="4"/>
    </row>
    <row r="6" spans="1:11">
      <c r="A6" s="23" t="s">
        <v>45</v>
      </c>
      <c r="B6" s="4"/>
      <c r="C6" s="4"/>
      <c r="D6" s="36"/>
      <c r="E6" s="23"/>
      <c r="F6" s="23"/>
      <c r="G6" s="9"/>
      <c r="H6" s="26">
        <v>44895</v>
      </c>
      <c r="I6" s="23">
        <v>10100</v>
      </c>
      <c r="J6" s="4"/>
    </row>
    <row r="7" spans="1:11">
      <c r="A7" s="4" t="s">
        <v>0</v>
      </c>
      <c r="B7" s="4"/>
      <c r="C7" s="4"/>
      <c r="D7" s="4"/>
      <c r="E7" s="4"/>
      <c r="F7" s="8"/>
      <c r="G7" s="9"/>
      <c r="H7" s="26">
        <v>44918</v>
      </c>
      <c r="I7" s="23">
        <v>1000</v>
      </c>
      <c r="J7" s="4"/>
    </row>
    <row r="8" spans="1:11">
      <c r="A8" s="4" t="s">
        <v>1</v>
      </c>
      <c r="B8" s="4"/>
      <c r="C8" s="4"/>
      <c r="D8" s="4"/>
      <c r="E8" s="4"/>
      <c r="F8" s="7"/>
      <c r="G8" s="9"/>
      <c r="H8" s="24">
        <v>44939</v>
      </c>
      <c r="I8" s="23">
        <v>4500</v>
      </c>
      <c r="J8" s="4"/>
    </row>
    <row r="9" spans="1:11">
      <c r="A9" s="4" t="s">
        <v>2</v>
      </c>
      <c r="B9" s="4"/>
      <c r="C9" s="4"/>
      <c r="D9" s="4"/>
      <c r="E9" s="4"/>
      <c r="F9" s="15"/>
      <c r="G9" s="9"/>
      <c r="H9" s="24">
        <v>44942</v>
      </c>
      <c r="I9" s="23">
        <v>4000</v>
      </c>
      <c r="J9" s="4"/>
    </row>
    <row r="10" spans="1:11">
      <c r="A10" s="4" t="s">
        <v>3</v>
      </c>
      <c r="B10" s="4"/>
      <c r="C10" s="4"/>
      <c r="D10" s="4"/>
      <c r="E10" s="4"/>
      <c r="F10" s="15"/>
      <c r="G10" s="9"/>
      <c r="H10" s="24">
        <v>44947</v>
      </c>
      <c r="I10" s="23">
        <v>1700</v>
      </c>
      <c r="J10" s="4"/>
    </row>
    <row r="11" spans="1:11">
      <c r="A11" s="4" t="s">
        <v>4</v>
      </c>
      <c r="B11" s="4"/>
      <c r="C11" s="4"/>
      <c r="D11" s="4">
        <v>11666</v>
      </c>
      <c r="E11" s="4"/>
      <c r="F11" s="7"/>
      <c r="G11" s="9"/>
      <c r="H11" s="306">
        <v>44968</v>
      </c>
      <c r="I11" s="207">
        <v>5000</v>
      </c>
      <c r="J11" s="207" t="s">
        <v>1174</v>
      </c>
      <c r="K11" s="243">
        <v>18</v>
      </c>
    </row>
    <row r="12" spans="1:11">
      <c r="A12" s="4" t="s">
        <v>5</v>
      </c>
      <c r="B12" s="4"/>
      <c r="C12" s="4"/>
      <c r="D12" s="4">
        <v>11666</v>
      </c>
      <c r="E12" s="4"/>
      <c r="F12" s="7"/>
      <c r="G12" s="9"/>
      <c r="H12" s="306">
        <v>44978</v>
      </c>
      <c r="I12" s="207">
        <v>2650</v>
      </c>
      <c r="J12" s="207" t="s">
        <v>1190</v>
      </c>
      <c r="K12" s="243">
        <v>36</v>
      </c>
    </row>
    <row r="13" spans="1:11">
      <c r="A13" s="4" t="s">
        <v>6</v>
      </c>
      <c r="B13" s="4"/>
      <c r="C13" s="4"/>
      <c r="D13" s="4">
        <v>11666</v>
      </c>
      <c r="E13" s="4"/>
      <c r="F13" s="7"/>
      <c r="G13" s="9"/>
      <c r="H13" s="306">
        <v>44985</v>
      </c>
      <c r="I13" s="207">
        <v>5000</v>
      </c>
      <c r="J13" s="207" t="s">
        <v>1261</v>
      </c>
      <c r="K13" s="243">
        <v>89</v>
      </c>
    </row>
    <row r="14" spans="1:11">
      <c r="A14" s="4" t="s">
        <v>7</v>
      </c>
      <c r="B14" s="4"/>
      <c r="C14" s="4"/>
      <c r="D14" s="4">
        <v>12087</v>
      </c>
      <c r="E14" s="4"/>
      <c r="F14" s="7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7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23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7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48085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48085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36950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11135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11">
      <formula1>25569</formula1>
      <formula2>54789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2"/>
  <dimension ref="A1:I18"/>
  <sheetViews>
    <sheetView workbookViewId="0">
      <selection activeCell="A6" sqref="A6"/>
    </sheetView>
  </sheetViews>
  <sheetFormatPr defaultRowHeight="15"/>
  <cols>
    <col min="1" max="1" width="15.140625" bestFit="1" customWidth="1"/>
    <col min="2" max="2" width="5" bestFit="1" customWidth="1"/>
    <col min="3" max="3" width="13.140625" bestFit="1" customWidth="1"/>
    <col min="4" max="4" width="7.140625" bestFit="1" customWidth="1"/>
    <col min="5" max="5" width="6.7109375" bestFit="1" customWidth="1"/>
    <col min="6" max="6" width="42.85546875" bestFit="1" customWidth="1"/>
    <col min="7" max="7" width="22.42578125" customWidth="1"/>
    <col min="8" max="8" width="10.28515625" bestFit="1" customWidth="1"/>
  </cols>
  <sheetData>
    <row r="1" spans="1:9">
      <c r="A1" s="270" t="s">
        <v>804</v>
      </c>
      <c r="B1" s="270"/>
      <c r="C1" s="270"/>
      <c r="D1" s="270"/>
      <c r="E1" s="270"/>
      <c r="F1" s="270"/>
    </row>
    <row r="2" spans="1:9" s="42" customFormat="1" ht="30">
      <c r="A2" s="41" t="s">
        <v>26</v>
      </c>
      <c r="B2" s="41" t="s">
        <v>27</v>
      </c>
      <c r="C2" s="41" t="s">
        <v>28</v>
      </c>
      <c r="D2" s="41" t="s">
        <v>29</v>
      </c>
      <c r="E2" s="41" t="s">
        <v>24</v>
      </c>
      <c r="F2" s="41" t="s">
        <v>11</v>
      </c>
      <c r="H2"/>
      <c r="I2"/>
    </row>
    <row r="3" spans="1:9">
      <c r="A3" s="17" t="s">
        <v>792</v>
      </c>
      <c r="B3" s="17"/>
      <c r="C3" s="17">
        <v>1000</v>
      </c>
      <c r="D3" s="17">
        <v>1000</v>
      </c>
      <c r="E3" s="17">
        <f>C3-D3</f>
        <v>0</v>
      </c>
      <c r="F3" s="17" t="s">
        <v>803</v>
      </c>
      <c r="G3" s="31"/>
    </row>
    <row r="4" spans="1:9">
      <c r="A4" s="17" t="s">
        <v>807</v>
      </c>
      <c r="B4" s="17"/>
      <c r="C4" s="17">
        <v>16000</v>
      </c>
      <c r="D4" s="17">
        <v>16000</v>
      </c>
      <c r="E4" s="17">
        <v>0</v>
      </c>
      <c r="F4" s="17"/>
    </row>
    <row r="5" spans="1:9">
      <c r="A5" s="17" t="s">
        <v>808</v>
      </c>
      <c r="B5" s="17"/>
      <c r="C5" s="17">
        <v>2330</v>
      </c>
      <c r="D5" s="17">
        <v>2330</v>
      </c>
      <c r="E5" s="17">
        <v>0</v>
      </c>
      <c r="F5" s="17" t="s">
        <v>809</v>
      </c>
    </row>
    <row r="6" spans="1:9">
      <c r="A6" s="17" t="s">
        <v>810</v>
      </c>
      <c r="B6" s="17"/>
      <c r="C6" s="17">
        <v>1500</v>
      </c>
      <c r="D6" s="17">
        <v>1500</v>
      </c>
      <c r="E6" s="17">
        <v>0</v>
      </c>
      <c r="F6" s="17" t="s">
        <v>811</v>
      </c>
    </row>
    <row r="7" spans="1:9">
      <c r="A7" s="17"/>
      <c r="B7" s="17"/>
      <c r="C7" s="17"/>
      <c r="D7" s="17"/>
      <c r="E7" s="17"/>
      <c r="F7" s="17"/>
    </row>
    <row r="8" spans="1:9">
      <c r="A8" s="17"/>
      <c r="B8" s="17"/>
      <c r="C8" s="17"/>
      <c r="D8" s="17"/>
      <c r="E8" s="17"/>
      <c r="F8" s="17"/>
    </row>
    <row r="9" spans="1:9">
      <c r="A9" s="17"/>
      <c r="B9" s="17"/>
      <c r="C9" s="17"/>
      <c r="D9" s="17"/>
      <c r="E9" s="17"/>
      <c r="F9" s="17"/>
    </row>
    <row r="10" spans="1:9">
      <c r="A10" s="17"/>
      <c r="B10" s="17"/>
      <c r="C10" s="17"/>
      <c r="D10" s="17"/>
      <c r="E10" s="17"/>
      <c r="F10" s="17"/>
    </row>
    <row r="11" spans="1:9">
      <c r="A11" s="17"/>
      <c r="B11" s="17"/>
      <c r="C11" s="17"/>
      <c r="D11" s="17"/>
      <c r="E11" s="17"/>
      <c r="F11" s="17"/>
    </row>
    <row r="12" spans="1:9">
      <c r="A12" s="17"/>
      <c r="B12" s="17"/>
      <c r="C12" s="17"/>
      <c r="D12" s="17"/>
      <c r="E12" s="17"/>
      <c r="F12" s="17"/>
    </row>
    <row r="13" spans="1:9">
      <c r="A13" s="17"/>
      <c r="B13" s="17"/>
      <c r="C13" s="17"/>
      <c r="D13" s="17"/>
      <c r="E13" s="17"/>
      <c r="F13" s="17"/>
    </row>
    <row r="14" spans="1:9">
      <c r="A14" s="17"/>
      <c r="B14" s="17"/>
      <c r="C14" s="17"/>
      <c r="D14" s="17"/>
      <c r="E14" s="17"/>
      <c r="F14" s="17"/>
    </row>
    <row r="15" spans="1:9">
      <c r="A15" s="17"/>
      <c r="B15" s="17"/>
      <c r="C15" s="17"/>
      <c r="D15" s="17"/>
      <c r="E15" s="17"/>
      <c r="F15" s="17"/>
    </row>
    <row r="16" spans="1:9">
      <c r="A16" s="17"/>
      <c r="B16" s="17"/>
      <c r="C16" s="17"/>
      <c r="D16" s="17"/>
      <c r="E16" s="17"/>
      <c r="F16" s="17"/>
    </row>
    <row r="17" spans="1:6">
      <c r="A17" s="17"/>
      <c r="B17" s="17"/>
      <c r="C17" s="17"/>
      <c r="D17" s="17"/>
      <c r="E17" s="17"/>
      <c r="F17" s="17"/>
    </row>
    <row r="18" spans="1:6">
      <c r="A18" s="107" t="s">
        <v>41</v>
      </c>
      <c r="B18" s="107"/>
      <c r="C18" s="107">
        <f>SUM(C3:C17)</f>
        <v>20830</v>
      </c>
      <c r="D18" s="107">
        <f>SUM(D3:D17)</f>
        <v>20830</v>
      </c>
      <c r="E18" s="107">
        <f>SUM(E3:E17)</f>
        <v>0</v>
      </c>
      <c r="F18" s="107"/>
    </row>
  </sheetData>
  <mergeCells count="1">
    <mergeCell ref="A1:F1"/>
  </mergeCell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3"/>
  <dimension ref="A1:J35"/>
  <sheetViews>
    <sheetView workbookViewId="0">
      <selection activeCell="I4" sqref="I4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5.85546875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4257812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0">
      <c r="A1" s="299" t="s">
        <v>760</v>
      </c>
      <c r="B1" s="299"/>
      <c r="C1" s="299"/>
      <c r="D1" s="299"/>
      <c r="E1" s="299"/>
      <c r="F1" s="299"/>
      <c r="G1" s="299"/>
      <c r="H1" s="299"/>
      <c r="I1" s="299"/>
      <c r="J1" s="299"/>
    </row>
    <row r="2" spans="1:10">
      <c r="A2" s="299" t="s">
        <v>10</v>
      </c>
      <c r="B2" s="299"/>
      <c r="C2" s="299"/>
      <c r="D2" s="299"/>
      <c r="E2" s="299"/>
      <c r="F2" s="299"/>
      <c r="G2" s="9"/>
      <c r="H2" s="299" t="s">
        <v>18</v>
      </c>
      <c r="I2" s="299"/>
      <c r="J2" s="299"/>
    </row>
    <row r="3" spans="1:10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147" t="s">
        <v>16</v>
      </c>
      <c r="I3" s="10" t="s">
        <v>17</v>
      </c>
      <c r="J3" s="10" t="s">
        <v>11</v>
      </c>
    </row>
    <row r="4" spans="1:10" ht="30">
      <c r="A4" s="6" t="s">
        <v>53</v>
      </c>
      <c r="B4" s="4" t="s">
        <v>12</v>
      </c>
      <c r="C4" s="4" t="s">
        <v>12</v>
      </c>
      <c r="D4" s="36">
        <v>9600</v>
      </c>
      <c r="E4" s="4"/>
      <c r="F4" s="7"/>
      <c r="G4" s="9"/>
      <c r="H4" s="26">
        <v>44664</v>
      </c>
      <c r="I4" s="23">
        <v>12000</v>
      </c>
      <c r="J4" s="4"/>
    </row>
    <row r="5" spans="1:10">
      <c r="A5" s="23" t="s">
        <v>44</v>
      </c>
      <c r="B5" s="4"/>
      <c r="C5" s="4"/>
      <c r="D5" s="36"/>
      <c r="E5" s="23"/>
      <c r="F5" s="23"/>
      <c r="G5" s="9"/>
      <c r="H5" s="26"/>
      <c r="I5" s="23"/>
      <c r="J5" s="4"/>
    </row>
    <row r="6" spans="1:10">
      <c r="A6" s="23" t="s">
        <v>45</v>
      </c>
      <c r="B6" s="4"/>
      <c r="C6" s="4"/>
      <c r="D6" s="36"/>
      <c r="E6" s="23"/>
      <c r="F6" s="23"/>
      <c r="G6" s="9"/>
      <c r="H6" s="26"/>
      <c r="I6" s="23"/>
      <c r="J6" s="4"/>
    </row>
    <row r="7" spans="1:10">
      <c r="A7" s="4" t="s">
        <v>0</v>
      </c>
      <c r="B7" s="4"/>
      <c r="C7" s="4"/>
      <c r="D7" s="4"/>
      <c r="E7" s="4"/>
      <c r="F7" s="8"/>
      <c r="G7" s="9"/>
      <c r="H7" s="26"/>
      <c r="I7" s="23"/>
      <c r="J7" s="4"/>
    </row>
    <row r="8" spans="1:10">
      <c r="A8" s="4" t="s">
        <v>1</v>
      </c>
      <c r="B8" s="4"/>
      <c r="C8" s="4"/>
      <c r="D8" s="4"/>
      <c r="E8" s="4"/>
      <c r="F8" s="7"/>
      <c r="G8" s="9"/>
      <c r="H8" s="24"/>
      <c r="I8" s="23"/>
      <c r="J8" s="4"/>
    </row>
    <row r="9" spans="1:10">
      <c r="A9" s="4" t="s">
        <v>2</v>
      </c>
      <c r="B9" s="4"/>
      <c r="C9" s="4"/>
      <c r="D9" s="4"/>
      <c r="E9" s="4"/>
      <c r="F9" s="15"/>
      <c r="G9" s="9"/>
      <c r="H9" s="24"/>
      <c r="I9" s="23"/>
      <c r="J9" s="4"/>
    </row>
    <row r="10" spans="1:10">
      <c r="A10" s="4" t="s">
        <v>3</v>
      </c>
      <c r="B10" s="4"/>
      <c r="C10" s="4"/>
      <c r="D10" s="4"/>
      <c r="E10" s="4"/>
      <c r="F10" s="15"/>
      <c r="G10" s="9"/>
      <c r="H10" s="24"/>
      <c r="I10" s="23"/>
      <c r="J10" s="4"/>
    </row>
    <row r="11" spans="1:10">
      <c r="A11" s="4" t="s">
        <v>4</v>
      </c>
      <c r="B11" s="4"/>
      <c r="C11" s="4"/>
      <c r="D11" s="4"/>
      <c r="E11" s="4"/>
      <c r="F11" s="7"/>
      <c r="G11" s="9"/>
      <c r="H11" s="24"/>
      <c r="I11" s="23"/>
      <c r="J11" s="4"/>
    </row>
    <row r="12" spans="1:10">
      <c r="A12" s="4" t="s">
        <v>5</v>
      </c>
      <c r="B12" s="4"/>
      <c r="C12" s="4"/>
      <c r="D12" s="4"/>
      <c r="E12" s="4"/>
      <c r="F12" s="7"/>
      <c r="G12" s="9"/>
      <c r="H12" s="24"/>
      <c r="I12" s="23"/>
      <c r="J12" s="4"/>
    </row>
    <row r="13" spans="1:10">
      <c r="A13" s="4" t="s">
        <v>6</v>
      </c>
      <c r="B13" s="4"/>
      <c r="C13" s="4"/>
      <c r="D13" s="4"/>
      <c r="E13" s="4"/>
      <c r="F13" s="7"/>
      <c r="G13" s="9"/>
      <c r="H13" s="24"/>
      <c r="I13" s="23"/>
      <c r="J13" s="4"/>
    </row>
    <row r="14" spans="1:10">
      <c r="A14" s="4" t="s">
        <v>7</v>
      </c>
      <c r="B14" s="4"/>
      <c r="C14" s="4"/>
      <c r="D14" s="4"/>
      <c r="E14" s="4"/>
      <c r="F14" s="7"/>
      <c r="G14" s="9"/>
      <c r="H14" s="26"/>
      <c r="I14" s="4"/>
      <c r="J14" s="4"/>
    </row>
    <row r="15" spans="1:10">
      <c r="A15" s="23" t="s">
        <v>8</v>
      </c>
      <c r="B15" s="4"/>
      <c r="C15" s="4"/>
      <c r="D15" s="4"/>
      <c r="E15" s="4"/>
      <c r="F15" s="7"/>
      <c r="G15" s="9"/>
      <c r="H15" s="26"/>
      <c r="I15" s="4"/>
      <c r="J15" s="4"/>
    </row>
    <row r="16" spans="1:10">
      <c r="A16" s="23" t="s">
        <v>48</v>
      </c>
      <c r="B16" s="4"/>
      <c r="C16" s="4"/>
      <c r="D16" s="4"/>
      <c r="E16" s="4"/>
      <c r="F16" s="23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7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9600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9600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12000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-2400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8">
    <mergeCell ref="A25:B25"/>
    <mergeCell ref="A26:B26"/>
    <mergeCell ref="A1:J1"/>
    <mergeCell ref="A2:F2"/>
    <mergeCell ref="H2:J2"/>
    <mergeCell ref="A21:F21"/>
    <mergeCell ref="A23:B23"/>
    <mergeCell ref="A24:B2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4"/>
  <dimension ref="A1:K63"/>
  <sheetViews>
    <sheetView topLeftCell="A19" workbookViewId="0">
      <selection activeCell="O47" sqref="O47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4.570312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806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46400</v>
      </c>
      <c r="E4" s="4"/>
      <c r="F4" s="7"/>
      <c r="G4" s="9"/>
      <c r="H4" s="26">
        <v>44655</v>
      </c>
      <c r="I4" s="23">
        <v>500</v>
      </c>
      <c r="J4" s="4"/>
    </row>
    <row r="5" spans="1:11">
      <c r="A5" s="23" t="s">
        <v>44</v>
      </c>
      <c r="B5" s="4"/>
      <c r="C5" s="4"/>
      <c r="D5" s="36">
        <v>18000</v>
      </c>
      <c r="E5" s="23"/>
      <c r="F5" s="23"/>
      <c r="G5" s="9"/>
      <c r="H5" s="26">
        <v>44667</v>
      </c>
      <c r="I5" s="23">
        <v>9000</v>
      </c>
      <c r="J5" s="4"/>
    </row>
    <row r="6" spans="1:11">
      <c r="A6" s="23" t="s">
        <v>45</v>
      </c>
      <c r="B6" s="4"/>
      <c r="C6" s="4"/>
      <c r="D6" s="36">
        <v>8400</v>
      </c>
      <c r="E6" s="23"/>
      <c r="F6" s="23"/>
      <c r="G6" s="9"/>
      <c r="H6" s="26">
        <v>44672</v>
      </c>
      <c r="I6" s="23">
        <v>500</v>
      </c>
      <c r="J6" s="4"/>
    </row>
    <row r="7" spans="1:11">
      <c r="A7" s="4" t="s">
        <v>0</v>
      </c>
      <c r="B7" s="4"/>
      <c r="C7" s="4"/>
      <c r="D7" s="4">
        <v>15600</v>
      </c>
      <c r="E7" s="4"/>
      <c r="F7" s="8"/>
      <c r="G7" s="9"/>
      <c r="H7" s="26">
        <v>44681</v>
      </c>
      <c r="I7" s="23">
        <v>2000</v>
      </c>
      <c r="J7" s="4"/>
    </row>
    <row r="8" spans="1:11">
      <c r="A8" s="4" t="s">
        <v>1</v>
      </c>
      <c r="B8" s="4"/>
      <c r="C8" s="4"/>
      <c r="D8" s="4">
        <v>20000</v>
      </c>
      <c r="E8" s="4"/>
      <c r="F8" s="7"/>
      <c r="G8" s="9"/>
      <c r="H8" s="24">
        <v>44687</v>
      </c>
      <c r="I8" s="23">
        <v>10000</v>
      </c>
      <c r="J8" s="4"/>
    </row>
    <row r="9" spans="1:11">
      <c r="A9" s="4" t="s">
        <v>2</v>
      </c>
      <c r="B9" s="4"/>
      <c r="C9" s="4"/>
      <c r="D9" s="4">
        <v>19333</v>
      </c>
      <c r="E9" s="4"/>
      <c r="F9" s="15"/>
      <c r="G9" s="9"/>
      <c r="H9" s="24">
        <v>44690</v>
      </c>
      <c r="I9" s="23">
        <v>6400</v>
      </c>
      <c r="J9" s="4"/>
    </row>
    <row r="10" spans="1:11">
      <c r="A10" s="4" t="s">
        <v>3</v>
      </c>
      <c r="B10" s="4"/>
      <c r="C10" s="4"/>
      <c r="D10" s="4">
        <v>15333</v>
      </c>
      <c r="E10" s="4"/>
      <c r="F10" s="15"/>
      <c r="G10" s="9"/>
      <c r="H10" s="24">
        <v>44729</v>
      </c>
      <c r="I10" s="23">
        <v>2150</v>
      </c>
      <c r="J10" s="4"/>
    </row>
    <row r="11" spans="1:11">
      <c r="A11" s="4" t="s">
        <v>4</v>
      </c>
      <c r="B11" s="4"/>
      <c r="C11" s="4"/>
      <c r="D11" s="4">
        <v>19333</v>
      </c>
      <c r="E11" s="4"/>
      <c r="F11" s="7"/>
      <c r="G11" s="9"/>
      <c r="H11" s="24">
        <v>44742</v>
      </c>
      <c r="I11" s="23">
        <v>3000</v>
      </c>
      <c r="J11" s="4"/>
    </row>
    <row r="12" spans="1:11">
      <c r="A12" s="4" t="s">
        <v>5</v>
      </c>
      <c r="B12" s="4"/>
      <c r="C12" s="4"/>
      <c r="D12" s="4">
        <v>20000</v>
      </c>
      <c r="E12" s="4"/>
      <c r="F12" s="7"/>
      <c r="G12" s="9"/>
      <c r="H12" s="24">
        <v>44751</v>
      </c>
      <c r="I12" s="23">
        <v>1000</v>
      </c>
      <c r="J12" s="4"/>
    </row>
    <row r="13" spans="1:11">
      <c r="A13" s="4" t="s">
        <v>6</v>
      </c>
      <c r="B13" s="4"/>
      <c r="C13" s="4"/>
      <c r="D13" s="4">
        <v>17333</v>
      </c>
      <c r="E13" s="4"/>
      <c r="F13" s="7"/>
      <c r="G13" s="9"/>
      <c r="H13" s="24">
        <v>44755</v>
      </c>
      <c r="I13" s="23">
        <v>2000</v>
      </c>
      <c r="J13" s="4"/>
    </row>
    <row r="14" spans="1:11">
      <c r="A14" s="4" t="s">
        <v>7</v>
      </c>
      <c r="B14" s="4"/>
      <c r="C14" s="4"/>
      <c r="D14" s="4">
        <v>8000</v>
      </c>
      <c r="E14" s="4"/>
      <c r="F14" s="7"/>
      <c r="G14" s="9"/>
      <c r="H14" s="26">
        <v>44760</v>
      </c>
      <c r="I14" s="4">
        <v>500</v>
      </c>
      <c r="J14" s="4"/>
    </row>
    <row r="15" spans="1:11">
      <c r="A15" s="23" t="s">
        <v>8</v>
      </c>
      <c r="B15" s="4"/>
      <c r="C15" s="4"/>
      <c r="D15" s="4"/>
      <c r="E15" s="4"/>
      <c r="F15" s="7"/>
      <c r="G15" s="9"/>
      <c r="H15" s="26">
        <v>44770</v>
      </c>
      <c r="I15" s="4">
        <v>500</v>
      </c>
      <c r="J15" s="4"/>
    </row>
    <row r="16" spans="1:11">
      <c r="A16" s="23" t="s">
        <v>48</v>
      </c>
      <c r="B16" s="4"/>
      <c r="C16" s="4"/>
      <c r="D16" s="4"/>
      <c r="E16" s="4"/>
      <c r="F16" s="23"/>
      <c r="G16" s="9"/>
      <c r="H16" s="26">
        <v>44774</v>
      </c>
      <c r="I16" s="4">
        <v>12000</v>
      </c>
      <c r="J16" s="194"/>
    </row>
    <row r="17" spans="1:10">
      <c r="A17" s="4" t="s">
        <v>20</v>
      </c>
      <c r="B17" s="4"/>
      <c r="C17" s="36"/>
      <c r="D17" s="36"/>
      <c r="E17" s="4"/>
      <c r="F17" s="7"/>
      <c r="G17" s="9"/>
      <c r="H17" s="26">
        <v>44783</v>
      </c>
      <c r="I17" s="4">
        <v>5000</v>
      </c>
      <c r="J17" s="4"/>
    </row>
    <row r="18" spans="1:10">
      <c r="A18" s="4" t="s">
        <v>19</v>
      </c>
      <c r="B18" s="4"/>
      <c r="C18" s="36"/>
      <c r="D18" s="113">
        <f>SUM(D4:D17)</f>
        <v>207732</v>
      </c>
      <c r="E18" s="4"/>
      <c r="F18" s="7"/>
      <c r="G18" s="9"/>
      <c r="H18" s="26">
        <v>44791</v>
      </c>
      <c r="I18" s="4">
        <v>1000</v>
      </c>
      <c r="J18" s="4"/>
    </row>
    <row r="19" spans="1:10">
      <c r="A19" s="2"/>
      <c r="B19" s="2"/>
      <c r="C19" s="37"/>
      <c r="D19" s="37"/>
      <c r="E19" s="2"/>
      <c r="F19" s="2"/>
      <c r="G19" s="9"/>
      <c r="H19" s="26">
        <v>44799</v>
      </c>
      <c r="I19" s="4">
        <v>500</v>
      </c>
      <c r="J19" s="4"/>
    </row>
    <row r="20" spans="1:10">
      <c r="A20" s="2"/>
      <c r="B20" s="2"/>
      <c r="C20" s="37"/>
      <c r="D20" s="37"/>
      <c r="E20" s="2"/>
      <c r="F20" s="2"/>
      <c r="G20" s="9"/>
      <c r="H20" s="26">
        <v>44803</v>
      </c>
      <c r="I20" s="4">
        <v>2000</v>
      </c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>
        <v>44812</v>
      </c>
      <c r="I21" s="4">
        <v>5000</v>
      </c>
      <c r="J21" s="4"/>
    </row>
    <row r="22" spans="1:10">
      <c r="A22" s="2"/>
      <c r="B22" s="2"/>
      <c r="C22" s="37"/>
      <c r="D22" s="37"/>
      <c r="E22" s="2"/>
      <c r="F22" s="2"/>
      <c r="G22" s="9"/>
      <c r="H22" s="26">
        <v>44816</v>
      </c>
      <c r="I22" s="4">
        <v>5000</v>
      </c>
      <c r="J22" s="4"/>
    </row>
    <row r="23" spans="1:10">
      <c r="A23" s="297" t="s">
        <v>22</v>
      </c>
      <c r="B23" s="297"/>
      <c r="C23" s="36">
        <f>D18</f>
        <v>207732</v>
      </c>
      <c r="D23" s="37"/>
      <c r="E23" s="2"/>
      <c r="F23" s="2"/>
      <c r="G23" s="9"/>
      <c r="H23" s="24">
        <v>44819</v>
      </c>
      <c r="I23" s="23">
        <v>5000</v>
      </c>
      <c r="J23" s="23"/>
    </row>
    <row r="24" spans="1:10">
      <c r="A24" s="297" t="s">
        <v>23</v>
      </c>
      <c r="B24" s="297"/>
      <c r="C24" s="36">
        <f>SUM(I4:I85)</f>
        <v>161350</v>
      </c>
      <c r="D24" s="37"/>
      <c r="E24" s="2"/>
      <c r="F24" s="2"/>
      <c r="G24" s="9"/>
      <c r="H24" s="24">
        <v>44830</v>
      </c>
      <c r="I24" s="23">
        <v>500</v>
      </c>
      <c r="J24" s="4"/>
    </row>
    <row r="25" spans="1:10">
      <c r="A25" s="297" t="s">
        <v>24</v>
      </c>
      <c r="B25" s="297"/>
      <c r="C25" s="36">
        <f>C23-C24</f>
        <v>46382</v>
      </c>
      <c r="D25" s="37"/>
      <c r="E25" s="2"/>
      <c r="F25" s="2"/>
      <c r="G25" s="9"/>
      <c r="H25" s="24">
        <v>44834</v>
      </c>
      <c r="I25" s="23">
        <v>1500</v>
      </c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4">
        <v>44838</v>
      </c>
      <c r="I26" s="23">
        <v>5000</v>
      </c>
      <c r="J26" s="4"/>
    </row>
    <row r="27" spans="1:10">
      <c r="A27" s="2"/>
      <c r="B27" s="2"/>
      <c r="C27" s="37"/>
      <c r="D27" s="37"/>
      <c r="E27" s="2"/>
      <c r="F27" s="2"/>
      <c r="G27" s="9"/>
      <c r="H27" s="24">
        <v>44848</v>
      </c>
      <c r="I27" s="23">
        <v>1000</v>
      </c>
      <c r="J27" s="4"/>
    </row>
    <row r="28" spans="1:10">
      <c r="A28" s="2"/>
      <c r="B28" s="2"/>
      <c r="C28" s="37"/>
      <c r="D28" s="37"/>
      <c r="E28" s="2"/>
      <c r="F28" s="2"/>
      <c r="G28" s="9"/>
      <c r="H28" s="26">
        <v>44850</v>
      </c>
      <c r="I28" s="4">
        <v>2500</v>
      </c>
      <c r="J28" s="4"/>
    </row>
    <row r="29" spans="1:10">
      <c r="A29" s="2"/>
      <c r="B29" s="2"/>
      <c r="C29" s="37"/>
      <c r="D29" s="37"/>
      <c r="E29" s="2"/>
      <c r="F29" s="2"/>
      <c r="G29" s="9"/>
      <c r="H29" s="26">
        <v>44854</v>
      </c>
      <c r="I29" s="4">
        <v>10000</v>
      </c>
      <c r="J29" s="4"/>
    </row>
    <row r="30" spans="1:10">
      <c r="A30" s="2"/>
      <c r="B30" s="2"/>
      <c r="C30" s="37"/>
      <c r="D30" s="37"/>
      <c r="E30" s="2"/>
      <c r="F30" s="2"/>
      <c r="G30" s="9"/>
      <c r="H30" s="26">
        <v>44865</v>
      </c>
      <c r="I30" s="4">
        <v>2500</v>
      </c>
      <c r="J30" s="4"/>
    </row>
    <row r="31" spans="1:10">
      <c r="A31" s="2"/>
      <c r="B31" s="2"/>
      <c r="C31" s="37"/>
      <c r="D31" s="37"/>
      <c r="E31" s="2"/>
      <c r="F31" s="2"/>
      <c r="G31" s="9"/>
      <c r="H31" s="26">
        <v>44872</v>
      </c>
      <c r="I31" s="4">
        <v>2000</v>
      </c>
      <c r="J31" s="4"/>
    </row>
    <row r="32" spans="1:10">
      <c r="A32" s="2"/>
      <c r="B32" s="2"/>
      <c r="C32" s="37"/>
      <c r="D32" s="37"/>
      <c r="E32" s="2"/>
      <c r="F32" s="2"/>
      <c r="G32" s="9"/>
      <c r="H32" s="26">
        <v>44875</v>
      </c>
      <c r="I32" s="4">
        <v>5000</v>
      </c>
      <c r="J32" s="4"/>
    </row>
    <row r="33" spans="1:11">
      <c r="A33" s="2"/>
      <c r="B33" s="2"/>
      <c r="C33" s="37"/>
      <c r="D33" s="37"/>
      <c r="E33" s="2"/>
      <c r="F33" s="2"/>
      <c r="G33" s="9"/>
      <c r="H33" s="26">
        <v>44879</v>
      </c>
      <c r="I33" s="4">
        <v>5000</v>
      </c>
      <c r="J33" s="4"/>
    </row>
    <row r="34" spans="1:11">
      <c r="A34" s="2"/>
      <c r="B34" s="2"/>
      <c r="C34" s="37"/>
      <c r="D34" s="37"/>
      <c r="E34" s="2"/>
      <c r="F34" s="2"/>
      <c r="G34" s="9"/>
      <c r="H34" s="26">
        <v>44880</v>
      </c>
      <c r="I34" s="4">
        <v>500</v>
      </c>
      <c r="J34" s="4"/>
    </row>
    <row r="35" spans="1:11">
      <c r="A35" s="2"/>
      <c r="B35" s="2"/>
      <c r="C35" s="37"/>
      <c r="D35" s="37"/>
      <c r="E35" s="2"/>
      <c r="F35" s="2"/>
      <c r="G35" s="9"/>
      <c r="H35" s="26">
        <v>44890</v>
      </c>
      <c r="I35" s="4">
        <v>1500</v>
      </c>
      <c r="J35" s="4"/>
    </row>
    <row r="36" spans="1:11">
      <c r="G36" s="9"/>
      <c r="H36" s="26">
        <v>44895</v>
      </c>
      <c r="I36" s="4">
        <v>1000</v>
      </c>
      <c r="J36" s="4"/>
    </row>
    <row r="37" spans="1:11">
      <c r="G37" s="9"/>
      <c r="H37" s="26">
        <v>44905</v>
      </c>
      <c r="I37" s="4">
        <v>2000</v>
      </c>
      <c r="J37" s="4"/>
    </row>
    <row r="38" spans="1:11">
      <c r="G38" s="9"/>
      <c r="H38" s="26">
        <v>44907</v>
      </c>
      <c r="I38" s="4">
        <v>400</v>
      </c>
      <c r="J38" s="4"/>
    </row>
    <row r="39" spans="1:11">
      <c r="G39" s="9"/>
      <c r="H39" s="26">
        <v>44909</v>
      </c>
      <c r="I39" s="4">
        <v>500</v>
      </c>
      <c r="J39" s="4"/>
    </row>
    <row r="40" spans="1:11">
      <c r="G40" s="9"/>
      <c r="H40" s="26">
        <v>44911</v>
      </c>
      <c r="I40" s="4">
        <v>1000</v>
      </c>
      <c r="J40" s="4"/>
    </row>
    <row r="41" spans="1:11">
      <c r="G41" s="9"/>
      <c r="H41" s="26">
        <v>44914</v>
      </c>
      <c r="I41" s="4">
        <v>4750</v>
      </c>
      <c r="J41" s="4"/>
    </row>
    <row r="42" spans="1:11">
      <c r="G42" s="9"/>
      <c r="H42" s="26">
        <v>44937</v>
      </c>
      <c r="I42" s="4">
        <v>10000</v>
      </c>
      <c r="J42" s="4"/>
    </row>
    <row r="43" spans="1:11">
      <c r="G43" s="9"/>
      <c r="H43" s="26">
        <v>44947</v>
      </c>
      <c r="I43" s="4">
        <v>5150</v>
      </c>
      <c r="J43" s="4"/>
    </row>
    <row r="44" spans="1:11">
      <c r="G44" s="9"/>
      <c r="H44" s="306">
        <v>44959</v>
      </c>
      <c r="I44" s="308">
        <v>10000</v>
      </c>
      <c r="J44" s="308" t="s">
        <v>1268</v>
      </c>
      <c r="K44" s="243">
        <v>100</v>
      </c>
    </row>
    <row r="45" spans="1:11">
      <c r="G45" s="9"/>
      <c r="H45" s="306">
        <v>44961</v>
      </c>
      <c r="I45" s="308">
        <v>1000</v>
      </c>
      <c r="J45" s="308" t="s">
        <v>1155</v>
      </c>
      <c r="K45" s="243">
        <v>103</v>
      </c>
    </row>
    <row r="46" spans="1:11">
      <c r="G46" s="9"/>
      <c r="H46" s="306">
        <v>44963</v>
      </c>
      <c r="I46" s="207">
        <v>5000</v>
      </c>
      <c r="J46" s="207" t="s">
        <v>1155</v>
      </c>
      <c r="K46" s="243">
        <v>2</v>
      </c>
    </row>
    <row r="47" spans="1:11">
      <c r="G47" s="9"/>
      <c r="H47" s="306">
        <v>44970</v>
      </c>
      <c r="I47" s="207">
        <v>2000</v>
      </c>
      <c r="J47" s="207" t="s">
        <v>1155</v>
      </c>
      <c r="K47" s="243">
        <v>25</v>
      </c>
    </row>
    <row r="48" spans="1:11">
      <c r="G48" s="9"/>
      <c r="H48" s="306">
        <v>44979</v>
      </c>
      <c r="I48" s="207">
        <v>500</v>
      </c>
      <c r="J48" s="207" t="s">
        <v>1196</v>
      </c>
      <c r="K48" s="243">
        <v>42</v>
      </c>
    </row>
    <row r="49" spans="7:11">
      <c r="G49" s="9"/>
      <c r="H49" s="306">
        <v>44981</v>
      </c>
      <c r="I49" s="207">
        <v>8000</v>
      </c>
      <c r="J49" s="207" t="s">
        <v>1196</v>
      </c>
      <c r="K49" s="243">
        <v>43</v>
      </c>
    </row>
    <row r="50" spans="7:11">
      <c r="G50" s="9"/>
      <c r="H50" s="306"/>
      <c r="I50" s="308"/>
      <c r="J50" s="308"/>
      <c r="K50" s="243"/>
    </row>
    <row r="51" spans="7:11">
      <c r="H51" s="306"/>
      <c r="I51" s="308"/>
      <c r="J51" s="308"/>
      <c r="K51" s="243"/>
    </row>
    <row r="52" spans="7:11">
      <c r="H52" s="211"/>
      <c r="I52" s="212"/>
      <c r="J52" s="212"/>
      <c r="K52" s="212"/>
    </row>
    <row r="53" spans="7:11">
      <c r="H53" s="211"/>
      <c r="I53" s="212"/>
      <c r="J53" s="212"/>
      <c r="K53" s="212"/>
    </row>
    <row r="54" spans="7:11">
      <c r="H54" s="214"/>
      <c r="I54" s="215"/>
      <c r="J54" s="215"/>
      <c r="K54" s="217"/>
    </row>
    <row r="55" spans="7:11">
      <c r="H55" s="214"/>
      <c r="I55" s="215"/>
      <c r="J55" s="215"/>
      <c r="K55" s="217"/>
    </row>
    <row r="56" spans="7:11">
      <c r="H56" s="214"/>
      <c r="I56" s="215"/>
      <c r="J56" s="215"/>
      <c r="K56" s="217"/>
    </row>
    <row r="57" spans="7:11">
      <c r="H57" s="214"/>
      <c r="I57" s="215"/>
      <c r="J57" s="215"/>
      <c r="K57" s="217"/>
    </row>
    <row r="58" spans="7:11">
      <c r="H58" s="214"/>
      <c r="I58" s="215"/>
      <c r="J58" s="215"/>
      <c r="K58" s="217"/>
    </row>
    <row r="59" spans="7:11">
      <c r="H59" s="214"/>
      <c r="I59" s="215"/>
      <c r="J59" s="215"/>
      <c r="K59" s="217"/>
    </row>
    <row r="60" spans="7:11">
      <c r="H60" s="214"/>
      <c r="I60" s="215"/>
      <c r="J60" s="215"/>
      <c r="K60" s="217"/>
    </row>
    <row r="61" spans="7:11">
      <c r="H61" s="214"/>
      <c r="I61" s="215"/>
      <c r="J61" s="215"/>
      <c r="K61" s="217"/>
    </row>
    <row r="62" spans="7:11">
      <c r="H62" s="214"/>
      <c r="I62" s="215"/>
      <c r="J62" s="215"/>
      <c r="K62" s="217"/>
    </row>
    <row r="63" spans="7:11">
      <c r="H63" s="214"/>
      <c r="I63" s="215"/>
      <c r="J63" s="215"/>
      <c r="K63" s="217"/>
    </row>
  </sheetData>
  <mergeCells count="5"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52:H63 H46">
      <formula1>25569</formula1>
      <formula2>54789</formula2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A1:K35"/>
  <sheetViews>
    <sheetView workbookViewId="0">
      <selection activeCell="E14" sqref="E14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4.570312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812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44592</v>
      </c>
      <c r="I4" s="23">
        <v>10000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306">
        <v>44972</v>
      </c>
      <c r="I5" s="207">
        <v>10000</v>
      </c>
      <c r="J5" s="207" t="s">
        <v>1181</v>
      </c>
      <c r="K5" s="243">
        <v>28</v>
      </c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/>
      <c r="I6" s="23"/>
      <c r="J6" s="4"/>
    </row>
    <row r="7" spans="1:11">
      <c r="A7" s="4" t="s">
        <v>0</v>
      </c>
      <c r="B7" s="4"/>
      <c r="C7" s="4"/>
      <c r="D7" s="4">
        <v>2266</v>
      </c>
      <c r="E7" s="4"/>
      <c r="F7" s="8"/>
      <c r="G7" s="9"/>
      <c r="H7" s="26"/>
      <c r="I7" s="23"/>
      <c r="J7" s="4"/>
    </row>
    <row r="8" spans="1:11">
      <c r="A8" s="4" t="s">
        <v>1</v>
      </c>
      <c r="B8" s="4"/>
      <c r="C8" s="4"/>
      <c r="D8" s="4">
        <v>9500</v>
      </c>
      <c r="E8" s="4"/>
      <c r="F8" s="8"/>
      <c r="G8" s="9"/>
      <c r="H8" s="24"/>
      <c r="I8" s="23"/>
      <c r="J8" s="4"/>
    </row>
    <row r="9" spans="1:11">
      <c r="A9" s="4" t="s">
        <v>2</v>
      </c>
      <c r="B9" s="4"/>
      <c r="C9" s="4"/>
      <c r="D9" s="4">
        <v>9500</v>
      </c>
      <c r="E9" s="4"/>
      <c r="F9" s="8"/>
      <c r="G9" s="9"/>
      <c r="H9" s="24"/>
      <c r="I9" s="23"/>
      <c r="J9" s="4"/>
    </row>
    <row r="10" spans="1:11">
      <c r="A10" s="4" t="s">
        <v>3</v>
      </c>
      <c r="B10" s="4"/>
      <c r="C10" s="4"/>
      <c r="D10" s="4">
        <v>9500</v>
      </c>
      <c r="E10" s="4"/>
      <c r="F10" s="8"/>
      <c r="G10" s="9"/>
      <c r="H10" s="24"/>
      <c r="I10" s="23"/>
      <c r="J10" s="4"/>
    </row>
    <row r="11" spans="1:11">
      <c r="A11" s="4" t="s">
        <v>4</v>
      </c>
      <c r="B11" s="4"/>
      <c r="C11" s="4"/>
      <c r="D11" s="4">
        <v>9500</v>
      </c>
      <c r="E11" s="4"/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>
        <v>9500</v>
      </c>
      <c r="E12" s="4"/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>
        <v>9500</v>
      </c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>
        <v>4750</v>
      </c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64016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64016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20000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44016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6"/>
  <dimension ref="A1:K35"/>
  <sheetViews>
    <sheetView workbookViewId="0">
      <selection activeCell="E14" sqref="E14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4.5703125" style="29" bestFit="1" customWidth="1"/>
    <col min="9" max="9" width="8.140625" style="14" bestFit="1" customWidth="1"/>
    <col min="10" max="10" width="13.5703125" style="14" customWidth="1"/>
    <col min="11" max="16384" width="8.7109375" style="14"/>
  </cols>
  <sheetData>
    <row r="1" spans="1:11">
      <c r="A1" s="300" t="s">
        <v>813</v>
      </c>
      <c r="B1" s="301"/>
      <c r="C1" s="301"/>
      <c r="D1" s="301"/>
      <c r="E1" s="301"/>
      <c r="F1" s="301"/>
      <c r="G1" s="301"/>
      <c r="H1" s="209"/>
      <c r="I1" s="218" t="s">
        <v>1153</v>
      </c>
      <c r="J1" s="210"/>
    </row>
    <row r="2" spans="1:11">
      <c r="A2" s="300" t="s">
        <v>10</v>
      </c>
      <c r="B2" s="301"/>
      <c r="C2" s="301"/>
      <c r="D2" s="301"/>
      <c r="E2" s="301"/>
      <c r="F2" s="302"/>
      <c r="G2" s="9"/>
      <c r="H2" s="208" t="s">
        <v>18</v>
      </c>
      <c r="I2" s="218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0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44799</v>
      </c>
      <c r="I4" s="23">
        <v>10000</v>
      </c>
      <c r="J4" s="4"/>
      <c r="K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44816</v>
      </c>
      <c r="I5" s="23">
        <v>10000</v>
      </c>
      <c r="J5" s="215"/>
      <c r="K5" s="217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44869</v>
      </c>
      <c r="I6" s="23">
        <v>500</v>
      </c>
      <c r="J6" s="215"/>
      <c r="K6" s="217"/>
    </row>
    <row r="7" spans="1:11">
      <c r="A7" s="4" t="s">
        <v>0</v>
      </c>
      <c r="B7" s="4"/>
      <c r="C7" s="4"/>
      <c r="D7" s="4">
        <v>333</v>
      </c>
      <c r="E7" s="4"/>
      <c r="F7" s="8"/>
      <c r="G7" s="9"/>
      <c r="H7" s="26">
        <v>44872</v>
      </c>
      <c r="I7" s="23">
        <v>10000</v>
      </c>
      <c r="J7" s="215"/>
      <c r="K7" s="217"/>
    </row>
    <row r="8" spans="1:11">
      <c r="A8" s="4" t="s">
        <v>1</v>
      </c>
      <c r="B8" s="4"/>
      <c r="C8" s="4"/>
      <c r="D8" s="4">
        <v>10000</v>
      </c>
      <c r="E8" s="4"/>
      <c r="F8" s="8"/>
      <c r="G8" s="9"/>
      <c r="H8" s="24">
        <v>44900</v>
      </c>
      <c r="I8" s="23">
        <v>10000</v>
      </c>
      <c r="J8" s="215"/>
      <c r="K8" s="217"/>
    </row>
    <row r="9" spans="1:11">
      <c r="A9" s="4" t="s">
        <v>2</v>
      </c>
      <c r="B9" s="4"/>
      <c r="C9" s="4"/>
      <c r="D9" s="4">
        <v>10000</v>
      </c>
      <c r="E9" s="4"/>
      <c r="F9" s="8"/>
      <c r="G9" s="9"/>
      <c r="H9" s="24">
        <v>44951</v>
      </c>
      <c r="I9" s="23">
        <v>2500</v>
      </c>
      <c r="J9" s="215"/>
      <c r="K9" s="217"/>
    </row>
    <row r="10" spans="1:11">
      <c r="A10" s="4" t="s">
        <v>3</v>
      </c>
      <c r="B10" s="4"/>
      <c r="C10" s="4"/>
      <c r="D10" s="4">
        <v>10000</v>
      </c>
      <c r="E10" s="4"/>
      <c r="F10" s="8"/>
      <c r="G10" s="9"/>
      <c r="H10" s="306">
        <v>44963</v>
      </c>
      <c r="I10" s="207">
        <v>10000</v>
      </c>
      <c r="J10" s="207" t="s">
        <v>1154</v>
      </c>
      <c r="K10" s="243">
        <v>1</v>
      </c>
    </row>
    <row r="11" spans="1:11">
      <c r="A11" s="4" t="s">
        <v>4</v>
      </c>
      <c r="B11" s="4"/>
      <c r="C11" s="4"/>
      <c r="D11" s="4">
        <v>10000</v>
      </c>
      <c r="E11" s="4"/>
      <c r="F11" s="8"/>
      <c r="G11" s="9"/>
      <c r="H11" s="214"/>
      <c r="I11" s="215"/>
      <c r="J11" s="215"/>
      <c r="K11" s="217"/>
    </row>
    <row r="12" spans="1:11">
      <c r="A12" s="4" t="s">
        <v>5</v>
      </c>
      <c r="B12" s="4"/>
      <c r="C12" s="4"/>
      <c r="D12" s="4">
        <v>10000</v>
      </c>
      <c r="E12" s="4"/>
      <c r="F12" s="8"/>
      <c r="G12" s="9"/>
      <c r="H12" s="214"/>
      <c r="I12" s="215"/>
      <c r="J12" s="215"/>
      <c r="K12" s="217"/>
    </row>
    <row r="13" spans="1:11">
      <c r="A13" s="4" t="s">
        <v>6</v>
      </c>
      <c r="B13" s="4"/>
      <c r="C13" s="4"/>
      <c r="D13" s="4">
        <v>10000</v>
      </c>
      <c r="E13" s="4"/>
      <c r="F13" s="8"/>
      <c r="G13" s="9"/>
      <c r="H13" s="211"/>
      <c r="I13" s="212"/>
      <c r="J13" s="212"/>
      <c r="K13" s="213"/>
    </row>
    <row r="14" spans="1:11">
      <c r="A14" s="4" t="s">
        <v>7</v>
      </c>
      <c r="B14" s="4"/>
      <c r="C14" s="4"/>
      <c r="D14" s="4">
        <v>10000</v>
      </c>
      <c r="E14" s="4"/>
      <c r="F14" s="8"/>
      <c r="G14" s="9"/>
      <c r="H14" s="211"/>
      <c r="I14" s="212"/>
      <c r="J14" s="212"/>
      <c r="K14" s="213"/>
    </row>
    <row r="15" spans="1:11">
      <c r="A15" s="23" t="s">
        <v>8</v>
      </c>
      <c r="B15" s="4"/>
      <c r="C15" s="4"/>
      <c r="D15" s="4"/>
      <c r="E15" s="4"/>
      <c r="F15" s="8"/>
      <c r="G15" s="9"/>
      <c r="H15" s="214"/>
      <c r="I15" s="215"/>
      <c r="J15" s="215"/>
      <c r="K15" s="217"/>
    </row>
    <row r="16" spans="1:11">
      <c r="A16" s="23" t="s">
        <v>48</v>
      </c>
      <c r="B16" s="4"/>
      <c r="C16" s="4"/>
      <c r="D16" s="4"/>
      <c r="E16" s="4"/>
      <c r="F16" s="8"/>
      <c r="G16" s="9"/>
      <c r="H16" s="214"/>
      <c r="I16" s="215"/>
      <c r="J16" s="215"/>
      <c r="K16" s="217"/>
    </row>
    <row r="17" spans="1:11">
      <c r="A17" s="4" t="s">
        <v>20</v>
      </c>
      <c r="B17" s="4"/>
      <c r="C17" s="36"/>
      <c r="D17" s="36"/>
      <c r="E17" s="4"/>
      <c r="F17" s="8"/>
      <c r="G17" s="9"/>
      <c r="H17" s="214"/>
      <c r="I17" s="215"/>
      <c r="J17" s="215"/>
      <c r="K17" s="217"/>
    </row>
    <row r="18" spans="1:11">
      <c r="A18" s="4" t="s">
        <v>19</v>
      </c>
      <c r="B18" s="4"/>
      <c r="C18" s="36"/>
      <c r="D18" s="113">
        <f>SUM(D4:D17)</f>
        <v>70333</v>
      </c>
      <c r="E18" s="4"/>
      <c r="F18" s="7"/>
      <c r="G18" s="9"/>
      <c r="H18" s="214"/>
      <c r="I18" s="215"/>
      <c r="J18" s="215"/>
      <c r="K18" s="217"/>
    </row>
    <row r="19" spans="1:11">
      <c r="A19" s="2"/>
      <c r="B19" s="2"/>
      <c r="C19" s="37"/>
      <c r="D19" s="37"/>
      <c r="E19" s="2"/>
      <c r="F19" s="2"/>
      <c r="G19" s="9"/>
      <c r="H19" s="214"/>
      <c r="I19" s="215"/>
      <c r="J19" s="215"/>
      <c r="K19" s="217"/>
    </row>
    <row r="20" spans="1:11">
      <c r="A20" s="2"/>
      <c r="B20" s="2"/>
      <c r="C20" s="37"/>
      <c r="D20" s="37"/>
      <c r="E20" s="2"/>
      <c r="F20" s="2"/>
      <c r="G20" s="9"/>
      <c r="H20" s="214"/>
      <c r="I20" s="215"/>
      <c r="J20" s="215"/>
      <c r="K20" s="217"/>
    </row>
    <row r="21" spans="1:11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  <c r="K21" s="4"/>
    </row>
    <row r="22" spans="1:11">
      <c r="A22" s="2"/>
      <c r="B22" s="2"/>
      <c r="C22" s="37"/>
      <c r="D22" s="37"/>
      <c r="E22" s="2"/>
      <c r="F22" s="2"/>
      <c r="G22" s="9"/>
      <c r="H22" s="26"/>
      <c r="I22" s="4"/>
      <c r="J22" s="4"/>
      <c r="K22" s="4"/>
    </row>
    <row r="23" spans="1:11">
      <c r="A23" s="297" t="s">
        <v>22</v>
      </c>
      <c r="B23" s="297"/>
      <c r="C23" s="36">
        <f>D18</f>
        <v>70333</v>
      </c>
      <c r="D23" s="37"/>
      <c r="E23" s="2"/>
      <c r="F23" s="2"/>
      <c r="G23" s="9"/>
      <c r="H23" s="24"/>
      <c r="I23" s="23"/>
      <c r="J23" s="23"/>
      <c r="K23" s="4"/>
    </row>
    <row r="24" spans="1:11">
      <c r="A24" s="297" t="s">
        <v>23</v>
      </c>
      <c r="B24" s="297"/>
      <c r="C24" s="36">
        <f>SUM(I4:I85)</f>
        <v>53000</v>
      </c>
      <c r="D24" s="37"/>
      <c r="E24" s="2"/>
      <c r="F24" s="2"/>
      <c r="G24" s="9"/>
      <c r="H24" s="24"/>
      <c r="I24" s="23"/>
      <c r="J24" s="4"/>
      <c r="K24" s="4"/>
    </row>
    <row r="25" spans="1:11">
      <c r="A25" s="297" t="s">
        <v>24</v>
      </c>
      <c r="B25" s="297"/>
      <c r="C25" s="36">
        <f>C23-C24</f>
        <v>17333</v>
      </c>
      <c r="D25" s="37"/>
      <c r="E25" s="2"/>
      <c r="F25" s="2"/>
      <c r="G25" s="9"/>
      <c r="H25" s="24"/>
      <c r="I25" s="23"/>
      <c r="J25" s="4"/>
      <c r="K25" s="4"/>
    </row>
    <row r="26" spans="1:11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  <c r="K26" s="4"/>
    </row>
    <row r="27" spans="1:11">
      <c r="A27" s="2"/>
      <c r="B27" s="2"/>
      <c r="C27" s="37"/>
      <c r="D27" s="37"/>
      <c r="E27" s="2"/>
      <c r="F27" s="2"/>
      <c r="G27" s="9"/>
      <c r="H27" s="24"/>
      <c r="I27" s="23"/>
      <c r="J27" s="4"/>
      <c r="K27" s="4"/>
    </row>
    <row r="28" spans="1:11">
      <c r="A28" s="2"/>
      <c r="B28" s="2"/>
      <c r="C28" s="37"/>
      <c r="D28" s="37"/>
      <c r="E28" s="2"/>
      <c r="F28" s="2"/>
      <c r="G28" s="9"/>
      <c r="H28" s="26"/>
      <c r="I28" s="4"/>
      <c r="J28" s="4"/>
      <c r="K28" s="4"/>
    </row>
    <row r="29" spans="1:11">
      <c r="A29" s="2"/>
      <c r="B29" s="2"/>
      <c r="C29" s="37"/>
      <c r="D29" s="37"/>
      <c r="E29" s="2"/>
      <c r="F29" s="2"/>
      <c r="G29" s="9"/>
      <c r="H29" s="26"/>
      <c r="I29" s="4"/>
      <c r="J29" s="4"/>
      <c r="K29" s="4"/>
    </row>
    <row r="30" spans="1:11">
      <c r="A30" s="2"/>
      <c r="B30" s="2"/>
      <c r="C30" s="37"/>
      <c r="D30" s="37"/>
      <c r="E30" s="2"/>
      <c r="F30" s="2"/>
      <c r="G30" s="9"/>
      <c r="H30" s="27"/>
      <c r="I30" s="4"/>
      <c r="J30" s="4"/>
      <c r="K30" s="4"/>
    </row>
    <row r="31" spans="1:11">
      <c r="A31" s="2"/>
      <c r="B31" s="2"/>
      <c r="C31" s="37"/>
      <c r="D31" s="37"/>
      <c r="E31" s="2"/>
      <c r="F31" s="2"/>
      <c r="G31" s="9"/>
      <c r="H31" s="27"/>
      <c r="I31" s="4"/>
      <c r="J31" s="4"/>
      <c r="K31" s="4"/>
    </row>
    <row r="32" spans="1:11">
      <c r="A32" s="2"/>
      <c r="B32" s="2"/>
      <c r="C32" s="37"/>
      <c r="D32" s="37"/>
      <c r="E32" s="2"/>
      <c r="F32" s="2"/>
      <c r="G32" s="9"/>
      <c r="H32" s="27"/>
      <c r="I32" s="4"/>
      <c r="J32" s="4"/>
      <c r="K32" s="4"/>
    </row>
    <row r="33" spans="1:11">
      <c r="A33" s="2"/>
      <c r="B33" s="2"/>
      <c r="C33" s="37"/>
      <c r="D33" s="37"/>
      <c r="E33" s="2"/>
      <c r="F33" s="2"/>
      <c r="G33" s="9"/>
      <c r="H33" s="27"/>
      <c r="I33" s="4"/>
      <c r="J33" s="4"/>
      <c r="K33" s="4"/>
    </row>
    <row r="34" spans="1:11">
      <c r="A34" s="2"/>
      <c r="B34" s="2"/>
      <c r="C34" s="37"/>
      <c r="D34" s="37"/>
      <c r="E34" s="2"/>
      <c r="F34" s="2"/>
      <c r="G34" s="9"/>
      <c r="H34" s="27"/>
      <c r="I34" s="4"/>
      <c r="J34" s="4"/>
      <c r="K34" s="4"/>
    </row>
    <row r="35" spans="1:11">
      <c r="A35" s="2"/>
      <c r="B35" s="2"/>
      <c r="C35" s="37"/>
      <c r="D35" s="37"/>
      <c r="E35" s="2"/>
      <c r="F35" s="2"/>
      <c r="G35" s="9"/>
      <c r="H35" s="27"/>
      <c r="I35" s="4"/>
      <c r="J35" s="4"/>
      <c r="K35" s="4"/>
    </row>
  </sheetData>
  <mergeCells count="7">
    <mergeCell ref="A2:F2"/>
    <mergeCell ref="A1:G1"/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3 H5:H20">
      <formula1>25569</formula1>
      <formula2>54789</formula2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7"/>
  <dimension ref="A1:K35"/>
  <sheetViews>
    <sheetView workbookViewId="0">
      <selection activeCell="M23" sqref="M23:M24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816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44755</v>
      </c>
      <c r="I4" s="23">
        <v>2000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44797</v>
      </c>
      <c r="I5" s="23">
        <v>5000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44799</v>
      </c>
      <c r="I6" s="23">
        <v>10000</v>
      </c>
      <c r="J6" s="4"/>
    </row>
    <row r="7" spans="1:11">
      <c r="A7" s="4" t="s">
        <v>0</v>
      </c>
      <c r="B7" s="4"/>
      <c r="C7" s="4"/>
      <c r="D7" s="4">
        <v>3733</v>
      </c>
      <c r="E7" s="4"/>
      <c r="F7" s="8"/>
      <c r="G7" s="9"/>
      <c r="H7" s="26">
        <v>44805</v>
      </c>
      <c r="I7" s="23">
        <v>3000</v>
      </c>
      <c r="J7" s="4"/>
    </row>
    <row r="8" spans="1:11">
      <c r="A8" s="4" t="s">
        <v>1</v>
      </c>
      <c r="B8" s="4"/>
      <c r="C8" s="4"/>
      <c r="D8" s="4">
        <v>16000</v>
      </c>
      <c r="E8" s="4"/>
      <c r="F8" s="8"/>
      <c r="G8" s="9"/>
      <c r="H8" s="24">
        <v>44832</v>
      </c>
      <c r="I8" s="23">
        <v>2730</v>
      </c>
      <c r="J8" s="4"/>
    </row>
    <row r="9" spans="1:11">
      <c r="A9" s="4" t="s">
        <v>2</v>
      </c>
      <c r="B9" s="4"/>
      <c r="C9" s="4"/>
      <c r="D9" s="4">
        <v>16000</v>
      </c>
      <c r="E9" s="4"/>
      <c r="F9" s="8"/>
      <c r="G9" s="9"/>
      <c r="H9" s="24">
        <v>44835</v>
      </c>
      <c r="I9" s="23">
        <v>10000</v>
      </c>
      <c r="J9" s="4"/>
    </row>
    <row r="10" spans="1:11">
      <c r="A10" s="4" t="s">
        <v>3</v>
      </c>
      <c r="B10" s="4"/>
      <c r="C10" s="4"/>
      <c r="D10" s="4">
        <v>16000</v>
      </c>
      <c r="E10" s="4"/>
      <c r="F10" s="8"/>
      <c r="G10" s="9"/>
      <c r="H10" s="24">
        <v>44840</v>
      </c>
      <c r="I10" s="23">
        <v>3000</v>
      </c>
      <c r="J10" s="4"/>
    </row>
    <row r="11" spans="1:11">
      <c r="A11" s="4" t="s">
        <v>4</v>
      </c>
      <c r="B11" s="4"/>
      <c r="C11" s="4"/>
      <c r="D11" s="4">
        <v>16000</v>
      </c>
      <c r="E11" s="4"/>
      <c r="F11" s="8"/>
      <c r="G11" s="9"/>
      <c r="H11" s="24">
        <v>44854</v>
      </c>
      <c r="I11" s="23">
        <v>5000</v>
      </c>
      <c r="J11" s="4"/>
    </row>
    <row r="12" spans="1:11">
      <c r="A12" s="4" t="s">
        <v>5</v>
      </c>
      <c r="B12" s="4"/>
      <c r="C12" s="4"/>
      <c r="D12" s="4">
        <v>16000</v>
      </c>
      <c r="E12" s="4"/>
      <c r="F12" s="8"/>
      <c r="G12" s="9"/>
      <c r="H12" s="24">
        <v>44870</v>
      </c>
      <c r="I12" s="23">
        <v>8000</v>
      </c>
      <c r="J12" s="4"/>
    </row>
    <row r="13" spans="1:11">
      <c r="A13" s="4" t="s">
        <v>6</v>
      </c>
      <c r="B13" s="4"/>
      <c r="C13" s="4"/>
      <c r="D13" s="4">
        <v>16000</v>
      </c>
      <c r="E13" s="4"/>
      <c r="F13" s="8"/>
      <c r="G13" s="9"/>
      <c r="H13" s="24">
        <v>44878</v>
      </c>
      <c r="I13" s="23">
        <v>3000</v>
      </c>
      <c r="J13" s="4"/>
    </row>
    <row r="14" spans="1:11">
      <c r="A14" s="4" t="s">
        <v>7</v>
      </c>
      <c r="B14" s="4"/>
      <c r="C14" s="4"/>
      <c r="D14" s="4">
        <v>16000</v>
      </c>
      <c r="E14" s="4"/>
      <c r="F14" s="8"/>
      <c r="G14" s="9"/>
      <c r="H14" s="26">
        <v>44890</v>
      </c>
      <c r="I14" s="4">
        <v>2000</v>
      </c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>
        <v>44900</v>
      </c>
      <c r="I15" s="4">
        <v>12000</v>
      </c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>
        <v>44905</v>
      </c>
      <c r="I16" s="4">
        <v>2000</v>
      </c>
      <c r="J16" s="4"/>
    </row>
    <row r="17" spans="1:11">
      <c r="A17" s="4" t="s">
        <v>20</v>
      </c>
      <c r="B17" s="4"/>
      <c r="C17" s="36"/>
      <c r="D17" s="36"/>
      <c r="E17" s="4"/>
      <c r="F17" s="8"/>
      <c r="G17" s="9"/>
      <c r="H17" s="26">
        <v>44957</v>
      </c>
      <c r="I17" s="4">
        <v>5300</v>
      </c>
      <c r="J17" s="4"/>
    </row>
    <row r="18" spans="1:11">
      <c r="A18" s="4" t="s">
        <v>19</v>
      </c>
      <c r="B18" s="4"/>
      <c r="C18" s="36"/>
      <c r="D18" s="113">
        <f>SUM(D4:D17)</f>
        <v>115733</v>
      </c>
      <c r="E18" s="4"/>
      <c r="F18" s="7"/>
      <c r="G18" s="9"/>
      <c r="H18" s="306">
        <v>44961</v>
      </c>
      <c r="I18" s="308">
        <v>10000</v>
      </c>
      <c r="J18" s="308" t="s">
        <v>1271</v>
      </c>
      <c r="K18" s="243">
        <v>104</v>
      </c>
    </row>
    <row r="19" spans="1:11">
      <c r="A19" s="2"/>
      <c r="B19" s="2"/>
      <c r="C19" s="37"/>
      <c r="D19" s="37"/>
      <c r="E19" s="2"/>
      <c r="F19" s="2"/>
      <c r="G19" s="9"/>
      <c r="H19" s="245">
        <v>44986</v>
      </c>
      <c r="I19" s="212">
        <v>7000</v>
      </c>
      <c r="J19" s="212" t="s">
        <v>1262</v>
      </c>
      <c r="K19" s="231">
        <v>90</v>
      </c>
    </row>
    <row r="20" spans="1:11">
      <c r="A20" s="2"/>
      <c r="B20" s="2"/>
      <c r="C20" s="37"/>
      <c r="D20" s="37"/>
      <c r="E20" s="2"/>
      <c r="F20" s="2"/>
      <c r="G20" s="9"/>
      <c r="H20" s="306"/>
      <c r="I20" s="308"/>
      <c r="J20" s="308"/>
      <c r="K20" s="243"/>
    </row>
    <row r="21" spans="1:11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1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1">
      <c r="A23" s="297" t="s">
        <v>22</v>
      </c>
      <c r="B23" s="297"/>
      <c r="C23" s="36">
        <f>D18</f>
        <v>115733</v>
      </c>
      <c r="D23" s="37"/>
      <c r="E23" s="2"/>
      <c r="F23" s="2"/>
      <c r="G23" s="9"/>
      <c r="H23" s="24"/>
      <c r="I23" s="23"/>
      <c r="J23" s="23"/>
    </row>
    <row r="24" spans="1:11">
      <c r="A24" s="297" t="s">
        <v>23</v>
      </c>
      <c r="B24" s="297"/>
      <c r="C24" s="36">
        <f>SUM(I4:I85)</f>
        <v>90030</v>
      </c>
      <c r="D24" s="37"/>
      <c r="E24" s="2"/>
      <c r="F24" s="2"/>
      <c r="G24" s="9"/>
      <c r="H24" s="24"/>
      <c r="I24" s="23"/>
      <c r="J24" s="4"/>
    </row>
    <row r="25" spans="1:11">
      <c r="A25" s="297" t="s">
        <v>24</v>
      </c>
      <c r="B25" s="297"/>
      <c r="C25" s="36">
        <f>C23-C24</f>
        <v>25703</v>
      </c>
      <c r="D25" s="37"/>
      <c r="E25" s="2"/>
      <c r="F25" s="2"/>
      <c r="G25" s="9"/>
      <c r="H25" s="24"/>
      <c r="I25" s="23"/>
      <c r="J25" s="4"/>
    </row>
    <row r="26" spans="1:11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1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1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1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1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1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1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8"/>
  <dimension ref="A1:K35"/>
  <sheetViews>
    <sheetView workbookViewId="0">
      <selection activeCell="I8" sqref="I8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4.570312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1104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  <c r="K1" s="193" t="s">
        <v>1105</v>
      </c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44795</v>
      </c>
      <c r="I4" s="23">
        <v>8000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44834</v>
      </c>
      <c r="I5" s="23">
        <v>10000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44856</v>
      </c>
      <c r="I6" s="23">
        <v>10000</v>
      </c>
      <c r="J6" s="4"/>
    </row>
    <row r="7" spans="1:11">
      <c r="A7" s="4" t="s">
        <v>0</v>
      </c>
      <c r="B7" s="4"/>
      <c r="C7" s="4"/>
      <c r="D7" s="4">
        <v>733</v>
      </c>
      <c r="E7" s="4"/>
      <c r="F7" s="8"/>
      <c r="G7" s="9"/>
      <c r="H7" s="26">
        <v>44902</v>
      </c>
      <c r="I7" s="23">
        <v>11000</v>
      </c>
      <c r="J7" s="4"/>
    </row>
    <row r="8" spans="1:11">
      <c r="A8" s="4" t="s">
        <v>1</v>
      </c>
      <c r="B8" s="4"/>
      <c r="C8" s="4"/>
      <c r="D8" s="4">
        <v>6900</v>
      </c>
      <c r="E8" s="4"/>
      <c r="F8" s="8"/>
      <c r="G8" s="9"/>
      <c r="H8" s="24">
        <v>44957</v>
      </c>
      <c r="I8" s="23">
        <v>10000</v>
      </c>
      <c r="J8" s="4"/>
    </row>
    <row r="9" spans="1:11">
      <c r="A9" s="4" t="s">
        <v>2</v>
      </c>
      <c r="B9" s="4"/>
      <c r="C9" s="4"/>
      <c r="D9" s="4">
        <v>11116</v>
      </c>
      <c r="E9" s="4"/>
      <c r="F9" s="8"/>
      <c r="G9" s="9"/>
      <c r="H9" s="306">
        <v>44967</v>
      </c>
      <c r="I9" s="207">
        <v>7000</v>
      </c>
      <c r="J9" s="207" t="s">
        <v>1169</v>
      </c>
      <c r="K9" s="243">
        <v>17</v>
      </c>
    </row>
    <row r="10" spans="1:11">
      <c r="A10" s="4" t="s">
        <v>3</v>
      </c>
      <c r="B10" s="4"/>
      <c r="C10" s="4"/>
      <c r="D10" s="4">
        <v>11500</v>
      </c>
      <c r="E10" s="4"/>
      <c r="F10" s="8"/>
      <c r="G10" s="9"/>
      <c r="H10" s="24"/>
      <c r="I10" s="23"/>
      <c r="J10" s="4"/>
    </row>
    <row r="11" spans="1:11">
      <c r="A11" s="4" t="s">
        <v>4</v>
      </c>
      <c r="B11" s="4"/>
      <c r="C11" s="4"/>
      <c r="D11" s="4">
        <v>11500</v>
      </c>
      <c r="E11" s="4"/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>
        <v>7091</v>
      </c>
      <c r="E12" s="4"/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>
        <v>11500</v>
      </c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>
        <v>11116</v>
      </c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71456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71456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56000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15456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9">
      <formula1>25569</formula1>
      <formula2>54789</formula2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9"/>
  <dimension ref="A1:K35"/>
  <sheetViews>
    <sheetView workbookViewId="0">
      <selection activeCell="P23" sqref="P23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817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44804</v>
      </c>
      <c r="I4" s="23">
        <v>10600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195">
        <v>44832</v>
      </c>
      <c r="I5" s="196">
        <v>7000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195">
        <v>44824</v>
      </c>
      <c r="I6" s="196">
        <v>5000</v>
      </c>
      <c r="J6" s="4"/>
      <c r="K6" s="14" t="s">
        <v>1118</v>
      </c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26">
        <v>44869</v>
      </c>
      <c r="I7" s="23">
        <v>4000</v>
      </c>
      <c r="J7" s="4"/>
    </row>
    <row r="8" spans="1:11">
      <c r="A8" s="4" t="s">
        <v>1</v>
      </c>
      <c r="B8" s="4"/>
      <c r="C8" s="4"/>
      <c r="D8" s="4">
        <v>10250</v>
      </c>
      <c r="E8" s="4"/>
      <c r="F8" s="8" t="s">
        <v>1106</v>
      </c>
      <c r="G8" s="9"/>
      <c r="H8" s="24">
        <v>44895</v>
      </c>
      <c r="I8" s="23">
        <v>10000</v>
      </c>
      <c r="J8" s="4"/>
    </row>
    <row r="9" spans="1:11">
      <c r="A9" s="4" t="s">
        <v>2</v>
      </c>
      <c r="B9" s="4"/>
      <c r="C9" s="4"/>
      <c r="D9" s="4">
        <f>3731+3150</f>
        <v>6881</v>
      </c>
      <c r="E9" s="4"/>
      <c r="F9" s="8"/>
      <c r="G9" s="9"/>
      <c r="H9" s="306">
        <v>44965</v>
      </c>
      <c r="I9" s="207">
        <v>10000</v>
      </c>
      <c r="J9" s="207" t="s">
        <v>1173</v>
      </c>
      <c r="K9" s="243">
        <v>11</v>
      </c>
    </row>
    <row r="10" spans="1:11">
      <c r="A10" s="4" t="s">
        <v>3</v>
      </c>
      <c r="B10" s="4"/>
      <c r="C10" s="4"/>
      <c r="D10" s="4">
        <v>9800</v>
      </c>
      <c r="E10" s="4"/>
      <c r="F10" s="8"/>
      <c r="G10" s="9"/>
      <c r="H10" s="245">
        <v>44986</v>
      </c>
      <c r="I10" s="212">
        <v>4000</v>
      </c>
      <c r="J10" s="212" t="s">
        <v>1173</v>
      </c>
      <c r="K10" s="231">
        <v>91</v>
      </c>
    </row>
    <row r="11" spans="1:11">
      <c r="A11" s="4" t="s">
        <v>4</v>
      </c>
      <c r="B11" s="4"/>
      <c r="C11" s="4"/>
      <c r="D11" s="4">
        <v>10500</v>
      </c>
      <c r="E11" s="4"/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>
        <v>10500</v>
      </c>
      <c r="E12" s="4"/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>
        <v>10500</v>
      </c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/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58431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58431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50600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7831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dataValidations count="1">
    <dataValidation type="date" allowBlank="1" showInputMessage="1" showErrorMessage="1" sqref="H9">
      <formula1>25569</formula1>
      <formula2>54789</formula2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0"/>
  <dimension ref="A1:K35"/>
  <sheetViews>
    <sheetView tabSelected="1" workbookViewId="0">
      <selection activeCell="P25" sqref="P25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4.570312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819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44783</v>
      </c>
      <c r="I4" s="23">
        <v>2000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44858</v>
      </c>
      <c r="I5" s="23">
        <v>5000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306">
        <v>44961</v>
      </c>
      <c r="I6" s="308">
        <v>10000</v>
      </c>
      <c r="J6" s="308" t="s">
        <v>1272</v>
      </c>
      <c r="K6" s="243">
        <v>105</v>
      </c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306"/>
      <c r="I7" s="308"/>
      <c r="J7" s="308"/>
      <c r="K7" s="243"/>
    </row>
    <row r="8" spans="1:11">
      <c r="A8" s="4" t="s">
        <v>1</v>
      </c>
      <c r="B8" s="4"/>
      <c r="C8" s="4"/>
      <c r="D8" s="4">
        <v>2100</v>
      </c>
      <c r="E8" s="4"/>
      <c r="F8" s="8"/>
      <c r="G8" s="9"/>
      <c r="H8" s="24"/>
      <c r="I8" s="23"/>
      <c r="J8" s="4"/>
    </row>
    <row r="9" spans="1:11">
      <c r="A9" s="4" t="s">
        <v>2</v>
      </c>
      <c r="B9" s="4"/>
      <c r="C9" s="4"/>
      <c r="D9" s="4">
        <v>8400</v>
      </c>
      <c r="E9" s="4"/>
      <c r="F9" s="8"/>
      <c r="G9" s="9"/>
      <c r="H9" s="24"/>
      <c r="I9" s="23"/>
      <c r="J9" s="4"/>
    </row>
    <row r="10" spans="1:11">
      <c r="A10" s="4" t="s">
        <v>3</v>
      </c>
      <c r="B10" s="4"/>
      <c r="C10" s="4"/>
      <c r="D10" s="4">
        <v>8700</v>
      </c>
      <c r="E10" s="4"/>
      <c r="F10" s="8"/>
      <c r="G10" s="9"/>
      <c r="H10" s="24"/>
      <c r="I10" s="23"/>
      <c r="J10" s="4"/>
    </row>
    <row r="11" spans="1:11">
      <c r="A11" s="4" t="s">
        <v>4</v>
      </c>
      <c r="B11" s="4"/>
      <c r="C11" s="4"/>
      <c r="D11" s="4">
        <v>8700</v>
      </c>
      <c r="E11" s="4"/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>
        <v>5700</v>
      </c>
      <c r="E12" s="4"/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>
        <v>9000</v>
      </c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>
        <v>8700</v>
      </c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51300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51300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17000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34300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1"/>
  <dimension ref="A1:K35"/>
  <sheetViews>
    <sheetView workbookViewId="0">
      <selection activeCell="K9" sqref="K9"/>
    </sheetView>
  </sheetViews>
  <sheetFormatPr defaultRowHeight="15"/>
  <cols>
    <col min="1" max="1" width="9" bestFit="1" customWidth="1"/>
    <col min="2" max="2" width="5.140625" bestFit="1" customWidth="1"/>
    <col min="3" max="3" width="7.28515625" bestFit="1" customWidth="1"/>
    <col min="4" max="4" width="6.28515625" bestFit="1" customWidth="1"/>
    <col min="5" max="5" width="3.85546875" bestFit="1" customWidth="1"/>
    <col min="6" max="6" width="7.7109375" bestFit="1" customWidth="1"/>
    <col min="8" max="8" width="14.5703125" bestFit="1" customWidth="1"/>
    <col min="9" max="9" width="8.140625" bestFit="1" customWidth="1"/>
    <col min="10" max="10" width="13.42578125" bestFit="1" customWidth="1"/>
  </cols>
  <sheetData>
    <row r="1" spans="1:11">
      <c r="A1" s="232" t="s">
        <v>1108</v>
      </c>
      <c r="B1" s="232"/>
      <c r="C1" s="232"/>
      <c r="D1" s="232"/>
      <c r="E1" s="232"/>
      <c r="F1" s="232"/>
      <c r="G1" s="232"/>
      <c r="H1" s="232"/>
      <c r="I1" s="232" t="s">
        <v>1153</v>
      </c>
      <c r="J1" s="232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11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t="s">
        <v>1151</v>
      </c>
    </row>
    <row r="4" spans="1:11">
      <c r="A4" s="23" t="s">
        <v>53</v>
      </c>
      <c r="B4" s="23"/>
      <c r="C4" s="39"/>
      <c r="D4" s="39">
        <v>4613</v>
      </c>
      <c r="E4" s="23"/>
      <c r="F4" s="23"/>
      <c r="G4" s="9"/>
      <c r="H4" s="24">
        <v>44681</v>
      </c>
      <c r="I4" s="23">
        <v>4613</v>
      </c>
      <c r="J4" s="4" t="s">
        <v>1102</v>
      </c>
    </row>
    <row r="5" spans="1:11">
      <c r="A5" s="23" t="s">
        <v>44</v>
      </c>
      <c r="B5" s="23" t="s">
        <v>12</v>
      </c>
      <c r="C5" s="23" t="s">
        <v>12</v>
      </c>
      <c r="D5" s="39">
        <v>0</v>
      </c>
      <c r="E5" s="23"/>
      <c r="F5" s="23"/>
      <c r="G5" s="9"/>
      <c r="H5" s="24"/>
      <c r="I5" s="23"/>
      <c r="J5" s="4"/>
    </row>
    <row r="6" spans="1:11">
      <c r="A6" s="23" t="s">
        <v>45</v>
      </c>
      <c r="B6" s="23" t="s">
        <v>12</v>
      </c>
      <c r="C6" s="23" t="s">
        <v>12</v>
      </c>
      <c r="D6" s="39">
        <v>0</v>
      </c>
      <c r="E6" s="23"/>
      <c r="F6" s="23"/>
      <c r="G6" s="9"/>
      <c r="H6" s="26"/>
      <c r="I6" s="4"/>
      <c r="J6" s="4"/>
    </row>
    <row r="7" spans="1:11">
      <c r="A7" s="4" t="s">
        <v>0</v>
      </c>
      <c r="B7" s="23" t="s">
        <v>12</v>
      </c>
      <c r="C7" s="23" t="s">
        <v>12</v>
      </c>
      <c r="D7" s="36">
        <v>0</v>
      </c>
      <c r="E7" s="4"/>
      <c r="F7" s="8"/>
      <c r="G7" s="9"/>
      <c r="H7" s="26"/>
      <c r="I7" s="4"/>
      <c r="J7" s="4"/>
    </row>
    <row r="8" spans="1:11">
      <c r="A8" s="4" t="s">
        <v>1</v>
      </c>
      <c r="B8" s="23" t="s">
        <v>12</v>
      </c>
      <c r="C8" s="23" t="s">
        <v>12</v>
      </c>
      <c r="D8" s="36">
        <v>0</v>
      </c>
      <c r="E8" s="4"/>
      <c r="F8" s="7"/>
      <c r="G8" s="9"/>
      <c r="H8" s="26"/>
      <c r="I8" s="4"/>
      <c r="J8" s="4"/>
    </row>
    <row r="9" spans="1:11">
      <c r="A9" s="4" t="s">
        <v>2</v>
      </c>
      <c r="B9" s="23" t="s">
        <v>12</v>
      </c>
      <c r="C9" s="23" t="s">
        <v>12</v>
      </c>
      <c r="D9" s="36">
        <v>0</v>
      </c>
      <c r="E9" s="4"/>
      <c r="F9" s="15"/>
      <c r="G9" s="9"/>
      <c r="H9" s="26"/>
      <c r="I9" s="4"/>
      <c r="J9" s="4"/>
    </row>
    <row r="10" spans="1:11">
      <c r="A10" s="4" t="s">
        <v>3</v>
      </c>
      <c r="B10" s="23" t="s">
        <v>12</v>
      </c>
      <c r="C10" s="23" t="s">
        <v>12</v>
      </c>
      <c r="D10" s="36">
        <v>0</v>
      </c>
      <c r="E10" s="4"/>
      <c r="F10" s="15"/>
      <c r="G10" s="9"/>
      <c r="H10" s="26"/>
      <c r="I10" s="4"/>
      <c r="J10" s="4"/>
    </row>
    <row r="11" spans="1:11">
      <c r="A11" s="4" t="s">
        <v>4</v>
      </c>
      <c r="B11" s="23" t="s">
        <v>12</v>
      </c>
      <c r="C11" s="23" t="s">
        <v>12</v>
      </c>
      <c r="D11" s="36">
        <v>0</v>
      </c>
      <c r="E11" s="4"/>
      <c r="F11" s="7"/>
      <c r="G11" s="9"/>
      <c r="H11" s="26"/>
      <c r="I11" s="4"/>
      <c r="J11" s="4"/>
    </row>
    <row r="12" spans="1:11">
      <c r="A12" s="4" t="s">
        <v>5</v>
      </c>
      <c r="B12" s="23" t="s">
        <v>12</v>
      </c>
      <c r="C12" s="23" t="s">
        <v>12</v>
      </c>
      <c r="D12" s="36">
        <v>0</v>
      </c>
      <c r="E12" s="4"/>
      <c r="F12" s="4"/>
      <c r="G12" s="9"/>
      <c r="H12" s="26"/>
      <c r="I12" s="4"/>
      <c r="J12" s="4"/>
    </row>
    <row r="13" spans="1:11">
      <c r="A13" s="23" t="s">
        <v>6</v>
      </c>
      <c r="B13" s="23" t="s">
        <v>12</v>
      </c>
      <c r="C13" s="23" t="s">
        <v>12</v>
      </c>
      <c r="D13" s="36">
        <v>0</v>
      </c>
      <c r="E13" s="23"/>
      <c r="F13" s="23"/>
      <c r="G13" s="9"/>
      <c r="H13" s="26"/>
      <c r="I13" s="4"/>
      <c r="J13" s="4"/>
    </row>
    <row r="14" spans="1:11">
      <c r="A14" s="4" t="s">
        <v>7</v>
      </c>
      <c r="B14" s="23" t="s">
        <v>12</v>
      </c>
      <c r="C14" s="23" t="s">
        <v>12</v>
      </c>
      <c r="D14" s="36">
        <v>0</v>
      </c>
      <c r="E14" s="4"/>
      <c r="F14" s="4"/>
      <c r="G14" s="9"/>
      <c r="H14" s="26"/>
      <c r="I14" s="4"/>
      <c r="J14" s="4"/>
    </row>
    <row r="15" spans="1:11">
      <c r="A15" s="4" t="s">
        <v>8</v>
      </c>
      <c r="B15" s="23" t="s">
        <v>12</v>
      </c>
      <c r="C15" s="23" t="s">
        <v>12</v>
      </c>
      <c r="D15" s="36">
        <v>0</v>
      </c>
      <c r="E15" s="4"/>
      <c r="F15" s="4"/>
      <c r="G15" s="9"/>
      <c r="H15" s="26"/>
      <c r="I15" s="4"/>
      <c r="J15" s="4"/>
    </row>
    <row r="16" spans="1:11">
      <c r="A16" s="4" t="s">
        <v>48</v>
      </c>
      <c r="B16" s="23" t="s">
        <v>12</v>
      </c>
      <c r="C16" s="23" t="s">
        <v>12</v>
      </c>
      <c r="D16" s="36">
        <v>0</v>
      </c>
      <c r="E16" s="4"/>
      <c r="F16" s="4"/>
      <c r="G16" s="9"/>
      <c r="H16" s="26"/>
      <c r="I16" s="4"/>
      <c r="J16" s="4"/>
    </row>
    <row r="17" spans="1:10">
      <c r="A17" s="4" t="s">
        <v>20</v>
      </c>
      <c r="B17" s="4"/>
      <c r="C17" s="36"/>
      <c r="D17" s="18"/>
      <c r="E17" s="4"/>
      <c r="F17" s="4"/>
      <c r="G17" s="9"/>
      <c r="H17" s="27"/>
      <c r="I17" s="4"/>
      <c r="J17" s="4"/>
    </row>
    <row r="18" spans="1:10">
      <c r="A18" s="4" t="s">
        <v>31</v>
      </c>
      <c r="B18" s="4"/>
      <c r="C18" s="36"/>
      <c r="D18" s="5"/>
      <c r="E18" s="4"/>
      <c r="F18" s="4"/>
      <c r="G18" s="9"/>
      <c r="H18" s="27"/>
      <c r="I18" s="4"/>
      <c r="J18" s="4"/>
    </row>
    <row r="19" spans="1:10">
      <c r="A19" s="2"/>
      <c r="B19" s="2"/>
      <c r="C19" s="37"/>
      <c r="D19" s="3"/>
      <c r="E19" s="2"/>
      <c r="F19" s="2"/>
      <c r="G19" s="9"/>
      <c r="H19" s="27"/>
      <c r="I19" s="4"/>
      <c r="J19" s="4"/>
    </row>
    <row r="20" spans="1:10">
      <c r="A20" s="2"/>
      <c r="B20" s="2"/>
      <c r="C20" s="37"/>
      <c r="D20" s="3"/>
      <c r="E20" s="2"/>
      <c r="F20" s="2"/>
      <c r="G20" s="9"/>
      <c r="H20" s="27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SUM(D4:D17)</f>
        <v>4613</v>
      </c>
      <c r="D23" s="3"/>
      <c r="E23" s="2"/>
      <c r="F23" s="2"/>
      <c r="G23" s="9"/>
      <c r="H23" s="26"/>
      <c r="I23" s="4"/>
      <c r="J23" s="4"/>
    </row>
    <row r="24" spans="1:10">
      <c r="A24" s="297" t="s">
        <v>23</v>
      </c>
      <c r="B24" s="297"/>
      <c r="C24" s="36">
        <f>SUM(I4:I59)</f>
        <v>4613</v>
      </c>
      <c r="D24" s="3"/>
      <c r="E24" s="2"/>
      <c r="F24" s="2"/>
      <c r="G24" s="9"/>
      <c r="H24" s="27"/>
      <c r="I24" s="4"/>
      <c r="J24" s="4"/>
    </row>
    <row r="25" spans="1:10">
      <c r="A25" s="297" t="s">
        <v>24</v>
      </c>
      <c r="B25" s="297"/>
      <c r="C25" s="36">
        <f>C23-C24</f>
        <v>0</v>
      </c>
      <c r="D25" s="3"/>
      <c r="E25" s="2"/>
      <c r="F25" s="2"/>
      <c r="G25" s="9"/>
      <c r="H25" s="27"/>
      <c r="I25" s="4"/>
      <c r="J25" s="4"/>
    </row>
    <row r="26" spans="1:10">
      <c r="A26" s="297" t="s">
        <v>25</v>
      </c>
      <c r="B26" s="297"/>
      <c r="C26" s="36" t="s">
        <v>12</v>
      </c>
      <c r="D26" s="3"/>
      <c r="E26" s="2"/>
      <c r="F26" s="2"/>
      <c r="G26" s="9"/>
      <c r="H26" s="26"/>
      <c r="I26" s="4"/>
      <c r="J26" s="4"/>
    </row>
    <row r="27" spans="1:10">
      <c r="A27" s="2"/>
      <c r="B27" s="2"/>
      <c r="C27" s="37"/>
      <c r="D27" s="3"/>
      <c r="E27" s="2"/>
      <c r="F27" s="2"/>
      <c r="G27" s="9"/>
      <c r="H27" s="26"/>
      <c r="I27" s="4"/>
      <c r="J27" s="4"/>
    </row>
    <row r="28" spans="1:10">
      <c r="A28" s="2"/>
      <c r="B28" s="2"/>
      <c r="C28" s="37"/>
      <c r="D28" s="3"/>
      <c r="E28" s="2"/>
      <c r="F28" s="2"/>
      <c r="G28" s="9"/>
      <c r="H28" s="27"/>
      <c r="I28" s="4"/>
      <c r="J28" s="4"/>
    </row>
    <row r="29" spans="1:10">
      <c r="A29" s="2"/>
      <c r="B29" s="2"/>
      <c r="C29" s="37"/>
      <c r="D29" s="3"/>
      <c r="E29" s="2"/>
      <c r="F29" s="2"/>
      <c r="G29" s="9"/>
      <c r="H29" s="27"/>
      <c r="I29" s="4"/>
      <c r="J29" s="4"/>
    </row>
    <row r="30" spans="1:10">
      <c r="A30" s="2"/>
      <c r="B30" s="2"/>
      <c r="C30" s="37"/>
      <c r="D30" s="3"/>
      <c r="E30" s="2"/>
      <c r="F30" s="2"/>
      <c r="G30" s="9"/>
      <c r="H30" s="26"/>
      <c r="I30" s="4"/>
      <c r="J30" s="4"/>
    </row>
    <row r="31" spans="1:10">
      <c r="A31" s="2"/>
      <c r="B31" s="2"/>
      <c r="C31" s="37"/>
      <c r="D31" s="3"/>
      <c r="E31" s="2"/>
      <c r="F31" s="2"/>
      <c r="G31" s="9"/>
      <c r="H31" s="26"/>
      <c r="I31" s="4"/>
      <c r="J31" s="4"/>
    </row>
    <row r="32" spans="1:10">
      <c r="A32" s="2"/>
      <c r="B32" s="2"/>
      <c r="C32" s="37"/>
      <c r="D32" s="3"/>
      <c r="E32" s="2"/>
      <c r="F32" s="2"/>
      <c r="G32" s="9"/>
      <c r="H32" s="26"/>
      <c r="I32" s="4"/>
      <c r="J32" s="4"/>
    </row>
    <row r="33" spans="1:10">
      <c r="A33" s="2"/>
      <c r="B33" s="2"/>
      <c r="C33" s="37"/>
      <c r="D33" s="3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2"/>
  <dimension ref="A1:K35"/>
  <sheetViews>
    <sheetView workbookViewId="0">
      <selection activeCell="E14" sqref="E14"/>
    </sheetView>
  </sheetViews>
  <sheetFormatPr defaultRowHeight="15"/>
  <cols>
    <col min="8" max="8" width="10.7109375" bestFit="1" customWidth="1"/>
  </cols>
  <sheetData>
    <row r="1" spans="1:11">
      <c r="A1" s="208" t="s">
        <v>1109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  <c r="K2" t="s">
        <v>1151</v>
      </c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</row>
    <row r="4" spans="1:11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44898</v>
      </c>
      <c r="I4" s="23">
        <v>5000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44900</v>
      </c>
      <c r="I5" s="23">
        <v>3000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44922</v>
      </c>
      <c r="I6" s="23">
        <v>500</v>
      </c>
      <c r="J6" s="4"/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26">
        <v>44931</v>
      </c>
      <c r="I7" s="23">
        <v>2000</v>
      </c>
      <c r="J7" s="4"/>
    </row>
    <row r="8" spans="1:11">
      <c r="A8" s="4" t="s">
        <v>1</v>
      </c>
      <c r="B8" s="4"/>
      <c r="C8" s="4"/>
      <c r="D8" s="4"/>
      <c r="E8" s="4"/>
      <c r="F8" s="8"/>
      <c r="G8" s="9"/>
      <c r="H8" s="24">
        <v>44947</v>
      </c>
      <c r="I8" s="23">
        <v>1000</v>
      </c>
      <c r="J8" s="4"/>
    </row>
    <row r="9" spans="1:11">
      <c r="A9" s="4" t="s">
        <v>2</v>
      </c>
      <c r="B9" s="4"/>
      <c r="C9" s="4"/>
      <c r="D9" s="4"/>
      <c r="E9" s="4"/>
      <c r="F9" s="8"/>
      <c r="G9" s="9"/>
      <c r="H9" s="24">
        <v>44951</v>
      </c>
      <c r="I9" s="23">
        <v>5000</v>
      </c>
      <c r="J9" s="4"/>
    </row>
    <row r="10" spans="1:11">
      <c r="A10" s="4" t="s">
        <v>3</v>
      </c>
      <c r="B10" s="4"/>
      <c r="C10" s="4"/>
      <c r="D10" s="4"/>
      <c r="E10" s="4"/>
      <c r="F10" s="8"/>
      <c r="G10" s="9"/>
      <c r="H10" s="306">
        <v>44979</v>
      </c>
      <c r="I10" s="207">
        <v>5000</v>
      </c>
      <c r="J10" s="207" t="s">
        <v>1195</v>
      </c>
      <c r="K10" s="243">
        <v>41</v>
      </c>
    </row>
    <row r="11" spans="1:11">
      <c r="A11" s="4" t="s">
        <v>4</v>
      </c>
      <c r="B11" s="4"/>
      <c r="C11" s="4"/>
      <c r="D11" s="4"/>
      <c r="E11" s="4"/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>
        <v>11000</v>
      </c>
      <c r="E12" s="4" t="s">
        <v>1110</v>
      </c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>
        <v>7700</v>
      </c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>
        <v>6233</v>
      </c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24933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24933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21500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3433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3"/>
  <dimension ref="A1:K35"/>
  <sheetViews>
    <sheetView workbookViewId="0">
      <selection activeCell="L19" sqref="L19"/>
    </sheetView>
  </sheetViews>
  <sheetFormatPr defaultRowHeight="15"/>
  <cols>
    <col min="8" max="8" width="10.7109375" bestFit="1" customWidth="1"/>
  </cols>
  <sheetData>
    <row r="1" spans="1:11">
      <c r="A1" s="208" t="s">
        <v>1111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t="s">
        <v>1151</v>
      </c>
    </row>
    <row r="4" spans="1:11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44805</v>
      </c>
      <c r="I4" s="23">
        <v>6000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44824</v>
      </c>
      <c r="I5" s="23">
        <v>6000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44872</v>
      </c>
      <c r="I6" s="23">
        <v>1000</v>
      </c>
      <c r="J6" s="4"/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26">
        <v>44879</v>
      </c>
      <c r="I7" s="23">
        <v>4400</v>
      </c>
      <c r="J7" s="4"/>
    </row>
    <row r="8" spans="1:11">
      <c r="A8" s="4" t="s">
        <v>1</v>
      </c>
      <c r="B8" s="4"/>
      <c r="C8" s="4"/>
      <c r="D8" s="4"/>
      <c r="E8" s="4"/>
      <c r="F8" s="8"/>
      <c r="G8" s="9"/>
      <c r="H8" s="24">
        <v>44891</v>
      </c>
      <c r="I8" s="23">
        <v>5000</v>
      </c>
      <c r="J8" s="4"/>
    </row>
    <row r="9" spans="1:11">
      <c r="A9" s="4" t="s">
        <v>2</v>
      </c>
      <c r="B9" s="4"/>
      <c r="C9" s="4"/>
      <c r="D9" s="4">
        <v>6400</v>
      </c>
      <c r="E9" s="4" t="s">
        <v>1112</v>
      </c>
      <c r="F9" s="8"/>
      <c r="G9" s="9"/>
      <c r="H9" s="24">
        <v>44939</v>
      </c>
      <c r="I9" s="23">
        <v>4600</v>
      </c>
      <c r="J9" s="4"/>
    </row>
    <row r="10" spans="1:11">
      <c r="A10" s="4" t="s">
        <v>3</v>
      </c>
      <c r="B10" s="4"/>
      <c r="C10" s="4"/>
      <c r="D10" s="4">
        <v>8200</v>
      </c>
      <c r="E10" s="4"/>
      <c r="F10" s="8"/>
      <c r="G10" s="9"/>
      <c r="H10" s="306">
        <v>44959</v>
      </c>
      <c r="I10" s="308">
        <v>6000</v>
      </c>
      <c r="J10" s="308" t="s">
        <v>1266</v>
      </c>
      <c r="K10" s="243">
        <v>97</v>
      </c>
    </row>
    <row r="11" spans="1:11">
      <c r="A11" s="4" t="s">
        <v>4</v>
      </c>
      <c r="B11" s="4"/>
      <c r="C11" s="4"/>
      <c r="D11" s="4">
        <v>2800</v>
      </c>
      <c r="E11" s="4"/>
      <c r="F11" s="8"/>
      <c r="G11" s="9"/>
      <c r="H11" s="306">
        <v>44977</v>
      </c>
      <c r="I11" s="207">
        <v>6500</v>
      </c>
      <c r="J11" s="207" t="s">
        <v>1189</v>
      </c>
      <c r="K11" s="243">
        <v>35</v>
      </c>
    </row>
    <row r="12" spans="1:11">
      <c r="A12" s="4" t="s">
        <v>5</v>
      </c>
      <c r="B12" s="4"/>
      <c r="C12" s="4"/>
      <c r="D12" s="4">
        <v>9600</v>
      </c>
      <c r="E12" s="4" t="s">
        <v>1089</v>
      </c>
      <c r="F12" s="8"/>
      <c r="G12" s="9"/>
      <c r="H12" s="306">
        <v>44979</v>
      </c>
      <c r="I12" s="207">
        <v>1100</v>
      </c>
      <c r="J12" s="207" t="s">
        <v>1194</v>
      </c>
      <c r="K12" s="243">
        <v>40</v>
      </c>
    </row>
    <row r="13" spans="1:11">
      <c r="A13" s="4" t="s">
        <v>6</v>
      </c>
      <c r="B13" s="4"/>
      <c r="C13" s="4"/>
      <c r="D13" s="4"/>
      <c r="E13" s="4"/>
      <c r="F13" s="8"/>
      <c r="G13" s="9"/>
      <c r="H13" s="4"/>
      <c r="I13" s="4"/>
      <c r="J13" s="4"/>
    </row>
    <row r="14" spans="1:11">
      <c r="A14" s="4" t="s">
        <v>7</v>
      </c>
      <c r="B14" s="4"/>
      <c r="C14" s="4"/>
      <c r="D14" s="4">
        <v>8000</v>
      </c>
      <c r="E14" s="4" t="s">
        <v>1129</v>
      </c>
      <c r="F14" s="8"/>
      <c r="G14" s="9"/>
      <c r="H14" s="4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35000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35000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40600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-5600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4"/>
  <dimension ref="A1:K35"/>
  <sheetViews>
    <sheetView workbookViewId="0">
      <selection activeCell="L10" sqref="L10"/>
    </sheetView>
  </sheetViews>
  <sheetFormatPr defaultRowHeight="15"/>
  <cols>
    <col min="8" max="8" width="14.5703125" bestFit="1" customWidth="1"/>
    <col min="10" max="10" width="13.7109375" bestFit="1" customWidth="1"/>
  </cols>
  <sheetData>
    <row r="1" spans="1:11">
      <c r="A1" s="208" t="s">
        <v>1113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t="s">
        <v>1151</v>
      </c>
    </row>
    <row r="4" spans="1:11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44865</v>
      </c>
      <c r="I4" s="23">
        <v>16533</v>
      </c>
      <c r="J4" s="4" t="s">
        <v>1115</v>
      </c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/>
      <c r="I5" s="23"/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/>
      <c r="I6" s="23"/>
      <c r="J6" s="4"/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26"/>
      <c r="I7" s="23"/>
      <c r="J7" s="4"/>
    </row>
    <row r="8" spans="1:11">
      <c r="A8" s="4" t="s">
        <v>1</v>
      </c>
      <c r="B8" s="4"/>
      <c r="C8" s="4"/>
      <c r="D8" s="4"/>
      <c r="E8" s="4"/>
      <c r="F8" s="8"/>
      <c r="G8" s="9"/>
      <c r="H8" s="24"/>
      <c r="I8" s="23"/>
      <c r="J8" s="4"/>
    </row>
    <row r="9" spans="1:11">
      <c r="A9" s="4" t="s">
        <v>2</v>
      </c>
      <c r="B9" s="4"/>
      <c r="C9" s="4"/>
      <c r="D9" s="4">
        <v>6400</v>
      </c>
      <c r="E9" s="4" t="s">
        <v>1114</v>
      </c>
      <c r="F9" s="8"/>
      <c r="G9" s="9"/>
      <c r="H9" s="24"/>
      <c r="I9" s="23"/>
      <c r="J9" s="4"/>
    </row>
    <row r="10" spans="1:11">
      <c r="A10" s="4" t="s">
        <v>3</v>
      </c>
      <c r="B10" s="4"/>
      <c r="C10" s="4"/>
      <c r="D10" s="4">
        <v>10133</v>
      </c>
      <c r="E10" s="4"/>
      <c r="F10" s="8"/>
      <c r="G10" s="9"/>
      <c r="H10" s="24"/>
      <c r="I10" s="23"/>
      <c r="J10" s="4"/>
    </row>
    <row r="11" spans="1:11">
      <c r="A11" s="4" t="s">
        <v>4</v>
      </c>
      <c r="B11" s="4"/>
      <c r="C11" s="4"/>
      <c r="D11" s="4"/>
      <c r="E11" s="4" t="s">
        <v>1089</v>
      </c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/>
      <c r="E12" s="4"/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/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/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16533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16533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16533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6:B26"/>
    <mergeCell ref="A23:B23"/>
    <mergeCell ref="A24:B24"/>
    <mergeCell ref="A25:B25"/>
    <mergeCell ref="A21:F2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5"/>
  <dimension ref="A1:K35"/>
  <sheetViews>
    <sheetView workbookViewId="0">
      <selection activeCell="L9" sqref="L9"/>
    </sheetView>
  </sheetViews>
  <sheetFormatPr defaultRowHeight="15"/>
  <cols>
    <col min="8" max="8" width="10.7109375" bestFit="1" customWidth="1"/>
  </cols>
  <sheetData>
    <row r="1" spans="1:11">
      <c r="A1" s="208" t="s">
        <v>1116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t="s">
        <v>1151</v>
      </c>
    </row>
    <row r="4" spans="1:11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44812</v>
      </c>
      <c r="I4" s="23">
        <v>1000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44845</v>
      </c>
      <c r="I5" s="23">
        <v>3000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44906</v>
      </c>
      <c r="I6" s="23">
        <v>5000</v>
      </c>
      <c r="J6" s="4" t="s">
        <v>1102</v>
      </c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26"/>
      <c r="I7" s="23"/>
      <c r="J7" s="4"/>
    </row>
    <row r="8" spans="1:11">
      <c r="A8" s="4" t="s">
        <v>1</v>
      </c>
      <c r="B8" s="4"/>
      <c r="C8" s="4"/>
      <c r="D8" s="4"/>
      <c r="E8" s="4"/>
      <c r="F8" s="8"/>
      <c r="G8" s="9"/>
      <c r="H8" s="24"/>
      <c r="I8" s="23"/>
      <c r="J8" s="4"/>
    </row>
    <row r="9" spans="1:11">
      <c r="A9" s="4" t="s">
        <v>2</v>
      </c>
      <c r="B9" s="4"/>
      <c r="C9" s="4"/>
      <c r="D9" s="4"/>
      <c r="E9" s="4"/>
      <c r="F9" s="8"/>
      <c r="G9" s="9"/>
      <c r="H9" s="24"/>
      <c r="I9" s="23"/>
      <c r="J9" s="4"/>
    </row>
    <row r="10" spans="1:11">
      <c r="A10" s="4" t="s">
        <v>3</v>
      </c>
      <c r="B10" s="4"/>
      <c r="C10" s="4"/>
      <c r="D10" s="4">
        <v>9000</v>
      </c>
      <c r="E10" s="4" t="s">
        <v>1117</v>
      </c>
      <c r="F10" s="8"/>
      <c r="G10" s="9"/>
      <c r="H10" s="24"/>
      <c r="I10" s="23"/>
      <c r="J10" s="4"/>
    </row>
    <row r="11" spans="1:11">
      <c r="A11" s="4" t="s">
        <v>4</v>
      </c>
      <c r="B11" s="4"/>
      <c r="C11" s="4"/>
      <c r="D11" s="4"/>
      <c r="E11" s="4" t="s">
        <v>1089</v>
      </c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/>
      <c r="E12" s="4"/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/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/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9000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9000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9000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6"/>
  <dimension ref="A1:K30"/>
  <sheetViews>
    <sheetView zoomScale="90" zoomScaleNormal="90" workbookViewId="0">
      <selection activeCell="L27" sqref="L27"/>
    </sheetView>
  </sheetViews>
  <sheetFormatPr defaultColWidth="16.42578125" defaultRowHeight="15"/>
  <cols>
    <col min="1" max="7" width="16.42578125" style="13"/>
    <col min="8" max="8" width="16.42578125" style="35"/>
    <col min="9" max="16384" width="16.42578125" style="13"/>
  </cols>
  <sheetData>
    <row r="1" spans="1:11">
      <c r="A1" s="208" t="s">
        <v>611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10" t="s">
        <v>14</v>
      </c>
      <c r="D3" s="11" t="s">
        <v>15</v>
      </c>
      <c r="E3" s="10" t="s">
        <v>447</v>
      </c>
      <c r="F3" s="10" t="s">
        <v>11</v>
      </c>
      <c r="G3" s="9"/>
      <c r="H3" s="216" t="s">
        <v>16</v>
      </c>
      <c r="I3" s="10" t="s">
        <v>17</v>
      </c>
      <c r="J3" s="10" t="s">
        <v>11</v>
      </c>
      <c r="K3" s="13" t="s">
        <v>1151</v>
      </c>
    </row>
    <row r="4" spans="1:11">
      <c r="A4" s="6" t="s">
        <v>422</v>
      </c>
      <c r="B4" s="4"/>
      <c r="C4" s="4"/>
      <c r="D4" s="5">
        <v>24000</v>
      </c>
      <c r="E4" s="4"/>
      <c r="F4" s="4" t="s">
        <v>1107</v>
      </c>
      <c r="G4" s="9"/>
      <c r="H4" s="24">
        <v>44908</v>
      </c>
      <c r="I4" s="23">
        <v>24000</v>
      </c>
      <c r="J4" s="4" t="s">
        <v>1102</v>
      </c>
    </row>
    <row r="5" spans="1:11">
      <c r="A5" s="23" t="s">
        <v>44</v>
      </c>
      <c r="B5" s="23"/>
      <c r="C5" s="4"/>
      <c r="D5" s="23"/>
      <c r="E5" s="23"/>
      <c r="F5" s="6" t="s">
        <v>1089</v>
      </c>
      <c r="G5" s="9"/>
      <c r="H5" s="24"/>
      <c r="I5" s="23"/>
      <c r="J5" s="4"/>
    </row>
    <row r="6" spans="1:11">
      <c r="A6" s="23" t="s">
        <v>45</v>
      </c>
      <c r="B6" s="23"/>
      <c r="C6" s="23"/>
      <c r="D6" s="23"/>
      <c r="E6" s="23"/>
      <c r="F6" s="23"/>
      <c r="G6" s="9"/>
      <c r="H6" s="24"/>
      <c r="I6" s="23"/>
      <c r="J6" s="4"/>
    </row>
    <row r="7" spans="1:11">
      <c r="A7" s="4" t="s">
        <v>0</v>
      </c>
      <c r="B7" s="4"/>
      <c r="C7" s="4"/>
      <c r="D7" s="23"/>
      <c r="E7" s="4"/>
      <c r="F7" s="23"/>
      <c r="G7" s="9"/>
      <c r="H7" s="24"/>
      <c r="I7" s="23"/>
      <c r="J7" s="4"/>
    </row>
    <row r="8" spans="1:11">
      <c r="A8" s="4" t="s">
        <v>1</v>
      </c>
      <c r="B8" s="4"/>
      <c r="C8" s="4"/>
      <c r="D8" s="23"/>
      <c r="E8" s="4"/>
      <c r="F8" s="23"/>
      <c r="G8" s="9"/>
      <c r="H8" s="24"/>
      <c r="I8" s="23"/>
      <c r="J8" s="4"/>
    </row>
    <row r="9" spans="1:11">
      <c r="A9" s="4" t="s">
        <v>2</v>
      </c>
      <c r="B9" s="4"/>
      <c r="C9" s="4"/>
      <c r="D9" s="23"/>
      <c r="E9" s="4"/>
      <c r="F9" s="23"/>
      <c r="G9" s="9"/>
      <c r="H9" s="24"/>
      <c r="I9" s="4"/>
      <c r="J9" s="4"/>
    </row>
    <row r="10" spans="1:11">
      <c r="A10" s="4" t="s">
        <v>3</v>
      </c>
      <c r="B10" s="4"/>
      <c r="C10" s="4"/>
      <c r="D10" s="23"/>
      <c r="E10" s="4"/>
      <c r="F10" s="23"/>
      <c r="G10" s="9"/>
      <c r="H10" s="24"/>
      <c r="I10" s="23"/>
      <c r="J10" s="4"/>
    </row>
    <row r="11" spans="1:11">
      <c r="A11" s="4" t="s">
        <v>4</v>
      </c>
      <c r="B11" s="4"/>
      <c r="C11" s="4"/>
      <c r="D11" s="148"/>
      <c r="E11" s="4"/>
      <c r="F11" s="4"/>
      <c r="G11" s="9"/>
      <c r="H11" s="24"/>
      <c r="I11" s="23"/>
      <c r="J11" s="4"/>
    </row>
    <row r="12" spans="1:11">
      <c r="A12" s="4" t="s">
        <v>5</v>
      </c>
      <c r="B12" s="4"/>
      <c r="C12" s="4"/>
      <c r="D12" s="148"/>
      <c r="E12" s="4"/>
      <c r="F12" s="4"/>
      <c r="G12" s="9"/>
      <c r="H12" s="24"/>
      <c r="I12" s="23"/>
      <c r="J12" s="4"/>
    </row>
    <row r="13" spans="1:11">
      <c r="A13" s="23" t="s">
        <v>6</v>
      </c>
      <c r="B13" s="23"/>
      <c r="C13" s="4"/>
      <c r="D13" s="5"/>
      <c r="E13" s="23"/>
      <c r="F13" s="4"/>
      <c r="G13" s="9"/>
      <c r="H13" s="24"/>
      <c r="I13" s="23"/>
      <c r="J13" s="4"/>
    </row>
    <row r="14" spans="1:11">
      <c r="A14" s="23" t="s">
        <v>7</v>
      </c>
      <c r="B14" s="23"/>
      <c r="C14" s="4"/>
      <c r="D14" s="5"/>
      <c r="E14" s="23"/>
      <c r="F14" s="4"/>
      <c r="G14" s="9"/>
      <c r="H14" s="24"/>
      <c r="I14" s="23"/>
      <c r="J14" s="4"/>
    </row>
    <row r="15" spans="1:11">
      <c r="A15" s="23" t="s">
        <v>8</v>
      </c>
      <c r="B15" s="23"/>
      <c r="C15" s="4"/>
      <c r="D15" s="5"/>
      <c r="E15" s="23"/>
      <c r="F15" s="4"/>
      <c r="G15" s="9"/>
      <c r="H15" s="26"/>
      <c r="I15" s="23"/>
      <c r="J15" s="4"/>
    </row>
    <row r="16" spans="1:11">
      <c r="A16" s="23" t="s">
        <v>48</v>
      </c>
      <c r="B16" s="23"/>
      <c r="C16" s="4"/>
      <c r="D16" s="5"/>
      <c r="E16" s="23"/>
      <c r="F16" s="4"/>
      <c r="G16" s="9"/>
      <c r="H16" s="26"/>
      <c r="I16" s="23"/>
      <c r="J16" s="4"/>
    </row>
    <row r="17" spans="1:10">
      <c r="A17" s="4" t="s">
        <v>20</v>
      </c>
      <c r="B17" s="4"/>
      <c r="C17" s="4"/>
      <c r="D17" s="5"/>
      <c r="E17" s="4"/>
      <c r="F17" s="4"/>
      <c r="G17" s="9"/>
      <c r="H17" s="26"/>
      <c r="I17" s="23"/>
      <c r="J17" s="4"/>
    </row>
    <row r="18" spans="1:10">
      <c r="A18" s="4" t="s">
        <v>19</v>
      </c>
      <c r="B18" s="4"/>
      <c r="C18" s="4"/>
      <c r="D18" s="5">
        <f>SUM(D4:D17)</f>
        <v>24000</v>
      </c>
      <c r="E18" s="4"/>
      <c r="F18" s="4"/>
      <c r="G18" s="9"/>
      <c r="H18" s="27"/>
      <c r="I18" s="23"/>
      <c r="J18" s="4"/>
    </row>
    <row r="19" spans="1:10">
      <c r="A19" s="2"/>
      <c r="B19" s="2"/>
      <c r="C19" s="2"/>
      <c r="D19" s="3"/>
      <c r="E19" s="2"/>
      <c r="F19" s="2"/>
      <c r="G19" s="9"/>
      <c r="H19" s="25"/>
      <c r="I19" s="23"/>
      <c r="J19" s="4"/>
    </row>
    <row r="20" spans="1:10">
      <c r="A20" s="2"/>
      <c r="B20" s="2"/>
      <c r="C20" s="2"/>
      <c r="D20" s="3"/>
      <c r="E20" s="2"/>
      <c r="F20" s="2"/>
      <c r="G20" s="9"/>
      <c r="H20" s="25"/>
      <c r="I20" s="23"/>
      <c r="J20" s="4"/>
    </row>
    <row r="21" spans="1:10">
      <c r="A21" s="295" t="s">
        <v>21</v>
      </c>
      <c r="B21" s="295"/>
      <c r="C21" s="295"/>
      <c r="D21" s="295"/>
      <c r="E21" s="295"/>
      <c r="F21" s="303"/>
      <c r="G21" s="9"/>
      <c r="H21" s="25"/>
      <c r="I21" s="23"/>
      <c r="J21" s="23"/>
    </row>
    <row r="22" spans="1:10">
      <c r="G22" s="9"/>
      <c r="H22" s="27"/>
      <c r="I22" s="23"/>
      <c r="J22" s="4"/>
    </row>
    <row r="23" spans="1:10">
      <c r="A23" s="304" t="s">
        <v>22</v>
      </c>
      <c r="B23" s="305"/>
      <c r="C23" s="36">
        <f>SUM(D4:D17)</f>
        <v>24000</v>
      </c>
      <c r="G23" s="9"/>
      <c r="H23" s="24"/>
      <c r="I23" s="23"/>
      <c r="J23" s="4"/>
    </row>
    <row r="24" spans="1:10">
      <c r="A24" s="304" t="s">
        <v>23</v>
      </c>
      <c r="B24" s="305"/>
      <c r="C24" s="36">
        <f>SUM(I4:I30)</f>
        <v>24000</v>
      </c>
      <c r="G24" s="9"/>
      <c r="H24" s="25"/>
      <c r="I24" s="23"/>
      <c r="J24" s="4"/>
    </row>
    <row r="25" spans="1:10">
      <c r="A25" s="297" t="s">
        <v>24</v>
      </c>
      <c r="B25" s="297"/>
      <c r="C25" s="36">
        <f>C23-C24</f>
        <v>0</v>
      </c>
      <c r="G25" s="9"/>
      <c r="H25" s="24"/>
      <c r="I25" s="23"/>
      <c r="J25" s="4"/>
    </row>
    <row r="26" spans="1:10">
      <c r="A26" s="297" t="s">
        <v>25</v>
      </c>
      <c r="B26" s="297"/>
      <c r="C26" s="4" t="s">
        <v>12</v>
      </c>
      <c r="G26" s="9"/>
      <c r="H26" s="26"/>
      <c r="I26" s="4"/>
      <c r="J26" s="4"/>
    </row>
    <row r="27" spans="1:10">
      <c r="G27" s="9"/>
      <c r="H27" s="26"/>
      <c r="I27" s="4"/>
      <c r="J27" s="4"/>
    </row>
    <row r="28" spans="1:10">
      <c r="G28" s="64"/>
      <c r="H28" s="65"/>
      <c r="I28" s="59"/>
      <c r="J28" s="59"/>
    </row>
    <row r="29" spans="1:10">
      <c r="G29" s="9"/>
      <c r="H29" s="27"/>
      <c r="I29" s="4"/>
      <c r="J29" s="4"/>
    </row>
    <row r="30" spans="1:10">
      <c r="G30" s="9"/>
      <c r="H30" s="26"/>
      <c r="I30" s="4"/>
      <c r="J30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  <pageSetup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7"/>
  <dimension ref="A1:K35"/>
  <sheetViews>
    <sheetView workbookViewId="0">
      <selection activeCell="M7" sqref="M7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818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44757</v>
      </c>
      <c r="I4" s="23">
        <v>500</v>
      </c>
      <c r="J4" s="4"/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>
        <v>44772</v>
      </c>
      <c r="I5" s="23">
        <v>300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>
        <v>44782</v>
      </c>
      <c r="I6" s="23">
        <v>500</v>
      </c>
      <c r="J6" s="4"/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26">
        <v>44783</v>
      </c>
      <c r="I7" s="23">
        <v>3000</v>
      </c>
      <c r="J7" s="4"/>
    </row>
    <row r="8" spans="1:11">
      <c r="A8" s="4" t="s">
        <v>1</v>
      </c>
      <c r="B8" s="4"/>
      <c r="C8" s="4"/>
      <c r="D8" s="4">
        <v>5000</v>
      </c>
      <c r="E8" s="4"/>
      <c r="F8" s="8"/>
      <c r="G8" s="9"/>
      <c r="H8" s="24">
        <v>44803</v>
      </c>
      <c r="I8" s="23">
        <v>700</v>
      </c>
      <c r="J8" s="4"/>
    </row>
    <row r="9" spans="1:11">
      <c r="A9" s="4" t="s">
        <v>2</v>
      </c>
      <c r="B9" s="4"/>
      <c r="C9" s="4"/>
      <c r="D9" s="4">
        <v>9720</v>
      </c>
      <c r="E9" s="4"/>
      <c r="F9" s="8"/>
      <c r="G9" s="9"/>
      <c r="H9" s="24">
        <v>44816</v>
      </c>
      <c r="I9" s="23">
        <v>2000</v>
      </c>
      <c r="J9" s="4"/>
    </row>
    <row r="10" spans="1:11">
      <c r="A10" s="4" t="s">
        <v>3</v>
      </c>
      <c r="B10" s="4"/>
      <c r="C10" s="4"/>
      <c r="D10" s="4">
        <v>6840</v>
      </c>
      <c r="E10" s="4"/>
      <c r="F10" s="8"/>
      <c r="G10" s="9"/>
      <c r="H10" s="24">
        <v>44820</v>
      </c>
      <c r="I10" s="23">
        <v>500</v>
      </c>
      <c r="J10" s="4"/>
    </row>
    <row r="11" spans="1:11">
      <c r="A11" s="4" t="s">
        <v>4</v>
      </c>
      <c r="B11" s="4"/>
      <c r="C11" s="4"/>
      <c r="D11" s="4">
        <v>5040</v>
      </c>
      <c r="E11" s="4"/>
      <c r="F11" s="8" t="s">
        <v>1089</v>
      </c>
      <c r="G11" s="9"/>
      <c r="H11" s="24">
        <v>44831</v>
      </c>
      <c r="I11" s="23">
        <v>1000</v>
      </c>
      <c r="J11" s="4"/>
    </row>
    <row r="12" spans="1:11">
      <c r="A12" s="4" t="s">
        <v>5</v>
      </c>
      <c r="B12" s="4"/>
      <c r="C12" s="4"/>
      <c r="D12" s="4"/>
      <c r="E12" s="4"/>
      <c r="F12" s="8"/>
      <c r="G12" s="9"/>
      <c r="H12" s="24">
        <v>44838</v>
      </c>
      <c r="I12" s="23">
        <v>5000</v>
      </c>
      <c r="J12" s="4"/>
    </row>
    <row r="13" spans="1:11">
      <c r="A13" s="4" t="s">
        <v>6</v>
      </c>
      <c r="B13" s="4"/>
      <c r="C13" s="4"/>
      <c r="D13" s="4"/>
      <c r="E13" s="4"/>
      <c r="F13" s="8"/>
      <c r="G13" s="9"/>
      <c r="H13" s="24">
        <v>44855</v>
      </c>
      <c r="I13" s="23">
        <v>3500</v>
      </c>
      <c r="J13" s="4"/>
    </row>
    <row r="14" spans="1:11">
      <c r="A14" s="4" t="s">
        <v>7</v>
      </c>
      <c r="B14" s="4"/>
      <c r="C14" s="4"/>
      <c r="D14" s="4"/>
      <c r="E14" s="4"/>
      <c r="F14" s="8"/>
      <c r="G14" s="9"/>
      <c r="H14" s="26">
        <v>44902</v>
      </c>
      <c r="I14" s="4">
        <v>5000</v>
      </c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>
        <v>44907</v>
      </c>
      <c r="I15" s="4">
        <v>4600</v>
      </c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26600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26600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26600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8"/>
  <dimension ref="A1:K35"/>
  <sheetViews>
    <sheetView workbookViewId="0">
      <selection activeCell="L5" sqref="L5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815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0</v>
      </c>
      <c r="E4" s="4"/>
      <c r="F4" s="7"/>
      <c r="G4" s="9"/>
      <c r="H4" s="26">
        <v>44802</v>
      </c>
      <c r="I4" s="23">
        <v>41250</v>
      </c>
      <c r="J4" s="4" t="s">
        <v>1103</v>
      </c>
    </row>
    <row r="5" spans="1:11">
      <c r="A5" s="23" t="s">
        <v>44</v>
      </c>
      <c r="B5" s="4"/>
      <c r="C5" s="4"/>
      <c r="D5" s="36">
        <v>0</v>
      </c>
      <c r="E5" s="23"/>
      <c r="F5" s="23"/>
      <c r="G5" s="9"/>
      <c r="H5" s="26"/>
      <c r="I5" s="23"/>
      <c r="J5" s="4"/>
    </row>
    <row r="6" spans="1:11">
      <c r="A6" s="23" t="s">
        <v>45</v>
      </c>
      <c r="B6" s="4"/>
      <c r="C6" s="4"/>
      <c r="D6" s="36">
        <v>0</v>
      </c>
      <c r="E6" s="23"/>
      <c r="F6" s="23"/>
      <c r="G6" s="9"/>
      <c r="H6" s="26"/>
      <c r="I6" s="23"/>
      <c r="J6" s="4"/>
    </row>
    <row r="7" spans="1:11">
      <c r="A7" s="4" t="s">
        <v>0</v>
      </c>
      <c r="B7" s="4"/>
      <c r="C7" s="4"/>
      <c r="D7" s="4">
        <v>0</v>
      </c>
      <c r="E7" s="4"/>
      <c r="F7" s="8"/>
      <c r="G7" s="9"/>
      <c r="H7" s="26"/>
      <c r="I7" s="23"/>
      <c r="J7" s="4"/>
    </row>
    <row r="8" spans="1:11">
      <c r="A8" s="4" t="s">
        <v>1</v>
      </c>
      <c r="B8" s="4"/>
      <c r="C8" s="4"/>
      <c r="D8" s="4">
        <v>23650</v>
      </c>
      <c r="E8" s="4"/>
      <c r="F8" s="8"/>
      <c r="G8" s="9"/>
      <c r="H8" s="24"/>
      <c r="I8" s="23"/>
      <c r="J8" s="4"/>
    </row>
    <row r="9" spans="1:11">
      <c r="A9" s="4" t="s">
        <v>2</v>
      </c>
      <c r="B9" s="4"/>
      <c r="C9" s="4"/>
      <c r="D9" s="4">
        <v>17600</v>
      </c>
      <c r="E9" s="4"/>
      <c r="F9" s="8"/>
      <c r="G9" s="9"/>
      <c r="H9" s="24"/>
      <c r="I9" s="23"/>
      <c r="J9" s="4"/>
    </row>
    <row r="10" spans="1:11">
      <c r="A10" s="4" t="s">
        <v>3</v>
      </c>
      <c r="B10" s="4"/>
      <c r="C10" s="4"/>
      <c r="D10" s="4"/>
      <c r="E10" s="4"/>
      <c r="F10" s="8" t="s">
        <v>1089</v>
      </c>
      <c r="G10" s="9"/>
      <c r="H10" s="24"/>
      <c r="I10" s="23"/>
      <c r="J10" s="4"/>
    </row>
    <row r="11" spans="1:11">
      <c r="A11" s="4" t="s">
        <v>4</v>
      </c>
      <c r="B11" s="4"/>
      <c r="C11" s="4"/>
      <c r="D11" s="4"/>
      <c r="E11" s="4"/>
      <c r="F11" s="8"/>
      <c r="G11" s="9"/>
      <c r="H11" s="24"/>
      <c r="I11" s="23"/>
      <c r="J11" s="4"/>
    </row>
    <row r="12" spans="1:11">
      <c r="A12" s="4" t="s">
        <v>5</v>
      </c>
      <c r="B12" s="4"/>
      <c r="C12" s="4"/>
      <c r="D12" s="4"/>
      <c r="E12" s="4"/>
      <c r="F12" s="8"/>
      <c r="G12" s="9"/>
      <c r="H12" s="24"/>
      <c r="I12" s="23"/>
      <c r="J12" s="4"/>
    </row>
    <row r="13" spans="1:11">
      <c r="A13" s="4" t="s">
        <v>6</v>
      </c>
      <c r="B13" s="4"/>
      <c r="C13" s="4"/>
      <c r="D13" s="4"/>
      <c r="E13" s="4"/>
      <c r="F13" s="8"/>
      <c r="G13" s="9"/>
      <c r="H13" s="24"/>
      <c r="I13" s="23"/>
      <c r="J13" s="4"/>
    </row>
    <row r="14" spans="1:11">
      <c r="A14" s="4" t="s">
        <v>7</v>
      </c>
      <c r="B14" s="4"/>
      <c r="C14" s="4"/>
      <c r="D14" s="4"/>
      <c r="E14" s="4"/>
      <c r="F14" s="8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8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8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8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41250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41250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41250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39"/>
  <dimension ref="A1:K35"/>
  <sheetViews>
    <sheetView workbookViewId="0">
      <selection activeCell="L6" sqref="L6:L7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4.570312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759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28310</v>
      </c>
      <c r="E4" s="4"/>
      <c r="F4" s="7"/>
      <c r="G4" s="9"/>
      <c r="H4" s="26">
        <v>44652</v>
      </c>
      <c r="I4" s="23">
        <v>15300</v>
      </c>
      <c r="J4" s="4" t="s">
        <v>761</v>
      </c>
    </row>
    <row r="5" spans="1:11">
      <c r="A5" s="23" t="s">
        <v>44</v>
      </c>
      <c r="B5" s="4"/>
      <c r="C5" s="4"/>
      <c r="D5" s="36">
        <v>13100</v>
      </c>
      <c r="E5" s="23"/>
      <c r="F5" s="23"/>
      <c r="G5" s="9"/>
      <c r="H5" s="26">
        <v>44686</v>
      </c>
      <c r="I5" s="23">
        <v>1000</v>
      </c>
      <c r="J5" s="4"/>
    </row>
    <row r="6" spans="1:11">
      <c r="A6" s="23" t="s">
        <v>45</v>
      </c>
      <c r="B6" s="4"/>
      <c r="C6" s="4"/>
      <c r="D6" s="36">
        <v>2150</v>
      </c>
      <c r="E6" s="23"/>
      <c r="F6" s="23"/>
      <c r="G6" s="9"/>
      <c r="H6" s="26">
        <v>44687</v>
      </c>
      <c r="I6" s="23">
        <v>500</v>
      </c>
      <c r="J6" s="4"/>
    </row>
    <row r="7" spans="1:11">
      <c r="A7" s="4" t="s">
        <v>0</v>
      </c>
      <c r="B7" s="4"/>
      <c r="C7" s="4"/>
      <c r="D7" s="4">
        <v>0</v>
      </c>
      <c r="E7" s="4"/>
      <c r="F7" s="8" t="s">
        <v>612</v>
      </c>
      <c r="G7" s="9"/>
      <c r="H7" s="26">
        <v>44782</v>
      </c>
      <c r="I7" s="23">
        <v>10000</v>
      </c>
      <c r="J7" s="4"/>
    </row>
    <row r="8" spans="1:11">
      <c r="A8" s="4" t="s">
        <v>1</v>
      </c>
      <c r="B8" s="4"/>
      <c r="C8" s="4"/>
      <c r="D8" s="4">
        <v>0</v>
      </c>
      <c r="E8" s="4"/>
      <c r="F8" s="8" t="s">
        <v>612</v>
      </c>
      <c r="G8" s="9"/>
      <c r="H8" s="24">
        <v>44887</v>
      </c>
      <c r="I8" s="23">
        <v>9000</v>
      </c>
      <c r="J8" s="4"/>
    </row>
    <row r="9" spans="1:11">
      <c r="A9" s="4" t="s">
        <v>2</v>
      </c>
      <c r="B9" s="4"/>
      <c r="C9" s="4"/>
      <c r="D9" s="4">
        <v>0</v>
      </c>
      <c r="E9" s="4"/>
      <c r="F9" s="8" t="s">
        <v>612</v>
      </c>
      <c r="G9" s="9"/>
      <c r="H9" s="24">
        <v>44907</v>
      </c>
      <c r="I9" s="23">
        <v>7760</v>
      </c>
      <c r="J9" s="4"/>
    </row>
    <row r="10" spans="1:11">
      <c r="A10" s="4" t="s">
        <v>3</v>
      </c>
      <c r="B10" s="4"/>
      <c r="C10" s="4"/>
      <c r="D10" s="4">
        <v>0</v>
      </c>
      <c r="E10" s="4"/>
      <c r="F10" s="8" t="s">
        <v>612</v>
      </c>
      <c r="G10" s="9"/>
      <c r="H10" s="24"/>
      <c r="I10" s="23"/>
      <c r="J10" s="4"/>
    </row>
    <row r="11" spans="1:11">
      <c r="A11" s="4" t="s">
        <v>4</v>
      </c>
      <c r="B11" s="4"/>
      <c r="C11" s="4"/>
      <c r="D11" s="4">
        <v>0</v>
      </c>
      <c r="E11" s="4"/>
      <c r="F11" s="8" t="s">
        <v>612</v>
      </c>
      <c r="G11" s="9"/>
      <c r="H11" s="24"/>
      <c r="I11" s="23"/>
      <c r="J11" s="4"/>
    </row>
    <row r="12" spans="1:11">
      <c r="A12" s="4" t="s">
        <v>5</v>
      </c>
      <c r="B12" s="4"/>
      <c r="C12" s="4"/>
      <c r="D12" s="4">
        <v>0</v>
      </c>
      <c r="E12" s="4"/>
      <c r="F12" s="8" t="s">
        <v>612</v>
      </c>
      <c r="G12" s="9"/>
      <c r="H12" s="24"/>
      <c r="I12" s="23"/>
      <c r="J12" s="4"/>
    </row>
    <row r="13" spans="1:11">
      <c r="A13" s="4" t="s">
        <v>6</v>
      </c>
      <c r="B13" s="4"/>
      <c r="C13" s="4"/>
      <c r="D13" s="4">
        <v>0</v>
      </c>
      <c r="E13" s="4"/>
      <c r="F13" s="8" t="s">
        <v>612</v>
      </c>
      <c r="G13" s="9"/>
      <c r="H13" s="24"/>
      <c r="I13" s="23"/>
      <c r="J13" s="4"/>
    </row>
    <row r="14" spans="1:11">
      <c r="A14" s="4" t="s">
        <v>7</v>
      </c>
      <c r="B14" s="4"/>
      <c r="C14" s="4"/>
      <c r="D14" s="4">
        <v>0</v>
      </c>
      <c r="E14" s="4"/>
      <c r="F14" s="8" t="s">
        <v>612</v>
      </c>
      <c r="G14" s="9"/>
      <c r="H14" s="26"/>
      <c r="I14" s="4"/>
      <c r="J14" s="4"/>
    </row>
    <row r="15" spans="1:11">
      <c r="A15" s="23" t="s">
        <v>8</v>
      </c>
      <c r="B15" s="4"/>
      <c r="C15" s="4"/>
      <c r="D15" s="4">
        <v>0</v>
      </c>
      <c r="E15" s="4"/>
      <c r="F15" s="8" t="s">
        <v>612</v>
      </c>
      <c r="G15" s="9"/>
      <c r="H15" s="26"/>
      <c r="I15" s="4"/>
      <c r="J15" s="4"/>
    </row>
    <row r="16" spans="1:11">
      <c r="A16" s="23" t="s">
        <v>48</v>
      </c>
      <c r="B16" s="4"/>
      <c r="C16" s="4"/>
      <c r="D16" s="4">
        <v>0</v>
      </c>
      <c r="E16" s="4"/>
      <c r="F16" s="8" t="s">
        <v>612</v>
      </c>
      <c r="G16" s="9"/>
      <c r="H16" s="26"/>
      <c r="I16" s="4"/>
      <c r="J16" s="4"/>
    </row>
    <row r="17" spans="1:10">
      <c r="A17" s="4" t="s">
        <v>20</v>
      </c>
      <c r="B17" s="4"/>
      <c r="C17" s="36"/>
      <c r="D17" s="36">
        <v>0</v>
      </c>
      <c r="E17" s="4"/>
      <c r="F17" s="8" t="s">
        <v>612</v>
      </c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43560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43560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43560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0"/>
  <dimension ref="A1:K35"/>
  <sheetViews>
    <sheetView workbookViewId="0">
      <selection activeCell="L5" sqref="L5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7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758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30883</v>
      </c>
      <c r="E4" s="4"/>
      <c r="F4" s="7"/>
      <c r="G4" s="9"/>
      <c r="H4" s="26">
        <v>44652</v>
      </c>
      <c r="I4" s="23">
        <v>1000</v>
      </c>
      <c r="J4" s="4"/>
    </row>
    <row r="5" spans="1:11">
      <c r="A5" s="23" t="s">
        <v>44</v>
      </c>
      <c r="B5" s="4"/>
      <c r="C5" s="4"/>
      <c r="D5" s="36">
        <v>5383</v>
      </c>
      <c r="E5" s="23"/>
      <c r="F5" s="23"/>
      <c r="G5" s="9"/>
      <c r="H5" s="26">
        <v>44670</v>
      </c>
      <c r="I5" s="23">
        <v>1500</v>
      </c>
      <c r="J5" s="4"/>
    </row>
    <row r="6" spans="1:11">
      <c r="A6" s="23" t="s">
        <v>45</v>
      </c>
      <c r="B6" s="4"/>
      <c r="C6" s="4"/>
      <c r="D6" s="36">
        <v>0</v>
      </c>
      <c r="E6" s="23"/>
      <c r="F6" s="23" t="s">
        <v>612</v>
      </c>
      <c r="G6" s="9"/>
      <c r="H6" s="26">
        <v>44802</v>
      </c>
      <c r="I6" s="23">
        <v>10000</v>
      </c>
      <c r="J6" s="4"/>
    </row>
    <row r="7" spans="1:11">
      <c r="A7" s="4" t="s">
        <v>0</v>
      </c>
      <c r="B7" s="4"/>
      <c r="C7" s="4"/>
      <c r="D7" s="4">
        <v>0</v>
      </c>
      <c r="E7" s="4"/>
      <c r="F7" s="23" t="s">
        <v>612</v>
      </c>
      <c r="G7" s="9"/>
      <c r="H7" s="26">
        <v>44810</v>
      </c>
      <c r="I7" s="23">
        <v>10000</v>
      </c>
      <c r="J7" s="4"/>
    </row>
    <row r="8" spans="1:11">
      <c r="A8" s="4" t="s">
        <v>1</v>
      </c>
      <c r="B8" s="4"/>
      <c r="C8" s="4"/>
      <c r="D8" s="4">
        <v>0</v>
      </c>
      <c r="E8" s="4"/>
      <c r="F8" s="23" t="s">
        <v>612</v>
      </c>
      <c r="G8" s="9"/>
      <c r="H8" s="24">
        <v>44841</v>
      </c>
      <c r="I8" s="23">
        <v>5000</v>
      </c>
      <c r="J8" s="4"/>
    </row>
    <row r="9" spans="1:11">
      <c r="A9" s="4" t="s">
        <v>2</v>
      </c>
      <c r="B9" s="4"/>
      <c r="C9" s="4"/>
      <c r="D9" s="4">
        <v>0</v>
      </c>
      <c r="E9" s="4"/>
      <c r="F9" s="23" t="s">
        <v>612</v>
      </c>
      <c r="G9" s="9"/>
      <c r="H9" s="24">
        <v>44859</v>
      </c>
      <c r="I9" s="23">
        <v>8766</v>
      </c>
      <c r="J9" s="4"/>
    </row>
    <row r="10" spans="1:11">
      <c r="A10" s="4" t="s">
        <v>3</v>
      </c>
      <c r="B10" s="4"/>
      <c r="C10" s="4"/>
      <c r="D10" s="4">
        <v>0</v>
      </c>
      <c r="E10" s="4"/>
      <c r="F10" s="23" t="s">
        <v>612</v>
      </c>
      <c r="G10" s="9"/>
      <c r="H10" s="24"/>
      <c r="I10" s="23"/>
      <c r="J10" s="4"/>
    </row>
    <row r="11" spans="1:11">
      <c r="A11" s="4" t="s">
        <v>4</v>
      </c>
      <c r="B11" s="4"/>
      <c r="C11" s="4"/>
      <c r="D11" s="4">
        <v>0</v>
      </c>
      <c r="E11" s="4"/>
      <c r="F11" s="23" t="s">
        <v>612</v>
      </c>
      <c r="G11" s="9"/>
      <c r="H11" s="24"/>
      <c r="I11" s="23"/>
      <c r="J11" s="4"/>
    </row>
    <row r="12" spans="1:11">
      <c r="A12" s="4" t="s">
        <v>5</v>
      </c>
      <c r="B12" s="4"/>
      <c r="C12" s="4"/>
      <c r="D12" s="4">
        <v>0</v>
      </c>
      <c r="E12" s="4"/>
      <c r="F12" s="23" t="s">
        <v>612</v>
      </c>
      <c r="G12" s="9"/>
      <c r="H12" s="24"/>
      <c r="I12" s="23"/>
      <c r="J12" s="4"/>
    </row>
    <row r="13" spans="1:11">
      <c r="A13" s="4" t="s">
        <v>6</v>
      </c>
      <c r="B13" s="4"/>
      <c r="C13" s="4"/>
      <c r="D13" s="4">
        <v>0</v>
      </c>
      <c r="E13" s="4"/>
      <c r="F13" s="23" t="s">
        <v>612</v>
      </c>
      <c r="G13" s="9"/>
      <c r="H13" s="24"/>
      <c r="I13" s="23"/>
      <c r="J13" s="4"/>
    </row>
    <row r="14" spans="1:11">
      <c r="A14" s="4" t="s">
        <v>7</v>
      </c>
      <c r="B14" s="4"/>
      <c r="C14" s="4"/>
      <c r="D14" s="4">
        <v>0</v>
      </c>
      <c r="E14" s="4"/>
      <c r="F14" s="23" t="s">
        <v>612</v>
      </c>
      <c r="G14" s="9"/>
      <c r="H14" s="26"/>
      <c r="I14" s="4"/>
      <c r="J14" s="4"/>
    </row>
    <row r="15" spans="1:11">
      <c r="A15" s="23" t="s">
        <v>8</v>
      </c>
      <c r="B15" s="4"/>
      <c r="C15" s="4"/>
      <c r="D15" s="4">
        <v>0</v>
      </c>
      <c r="E15" s="4"/>
      <c r="F15" s="23" t="s">
        <v>612</v>
      </c>
      <c r="G15" s="9"/>
      <c r="H15" s="26"/>
      <c r="I15" s="4"/>
      <c r="J15" s="4"/>
    </row>
    <row r="16" spans="1:11">
      <c r="A16" s="23" t="s">
        <v>48</v>
      </c>
      <c r="B16" s="4"/>
      <c r="C16" s="4"/>
      <c r="D16" s="4">
        <v>0</v>
      </c>
      <c r="E16" s="4"/>
      <c r="F16" s="23" t="s">
        <v>612</v>
      </c>
      <c r="G16" s="9"/>
      <c r="H16" s="26"/>
      <c r="I16" s="4"/>
      <c r="J16" s="4"/>
    </row>
    <row r="17" spans="1:10">
      <c r="A17" s="4" t="s">
        <v>20</v>
      </c>
      <c r="B17" s="4"/>
      <c r="C17" s="36"/>
      <c r="D17" s="36">
        <v>0</v>
      </c>
      <c r="E17" s="4"/>
      <c r="F17" s="23" t="s">
        <v>612</v>
      </c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36266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36266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36266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1"/>
  <dimension ref="A1:K35"/>
  <sheetViews>
    <sheetView workbookViewId="0">
      <selection activeCell="L6" sqref="L6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6.7109375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805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32200</v>
      </c>
      <c r="E4" s="4"/>
      <c r="F4" s="7"/>
      <c r="G4" s="9"/>
      <c r="H4" s="26">
        <v>44678</v>
      </c>
      <c r="I4" s="23">
        <v>10000</v>
      </c>
      <c r="J4" s="4"/>
    </row>
    <row r="5" spans="1:11">
      <c r="A5" s="23" t="s">
        <v>44</v>
      </c>
      <c r="B5" s="4"/>
      <c r="C5" s="4"/>
      <c r="D5" s="36">
        <v>9000</v>
      </c>
      <c r="E5" s="23"/>
      <c r="F5" s="23"/>
      <c r="G5" s="9"/>
      <c r="H5" s="26">
        <v>44756</v>
      </c>
      <c r="I5" s="23">
        <v>10000</v>
      </c>
      <c r="J5" s="4"/>
    </row>
    <row r="6" spans="1:11">
      <c r="A6" s="23" t="s">
        <v>45</v>
      </c>
      <c r="B6" s="4"/>
      <c r="C6" s="4"/>
      <c r="D6" s="36">
        <v>600</v>
      </c>
      <c r="E6" s="23"/>
      <c r="F6" s="23" t="s">
        <v>1089</v>
      </c>
      <c r="G6" s="9"/>
      <c r="H6" s="26">
        <v>44800</v>
      </c>
      <c r="I6" s="23">
        <v>10000</v>
      </c>
      <c r="J6" s="4"/>
    </row>
    <row r="7" spans="1:11">
      <c r="A7" s="4" t="s">
        <v>0</v>
      </c>
      <c r="B7" s="4"/>
      <c r="C7" s="4"/>
      <c r="D7" s="4"/>
      <c r="E7" s="4"/>
      <c r="F7" s="8"/>
      <c r="G7" s="9"/>
      <c r="H7" s="26">
        <v>44865</v>
      </c>
      <c r="I7" s="23">
        <v>11800</v>
      </c>
      <c r="J7" s="4"/>
    </row>
    <row r="8" spans="1:11">
      <c r="A8" s="4" t="s">
        <v>1</v>
      </c>
      <c r="B8" s="4"/>
      <c r="C8" s="4"/>
      <c r="D8" s="4"/>
      <c r="E8" s="4"/>
      <c r="F8" s="7"/>
      <c r="G8" s="9"/>
      <c r="H8" s="24"/>
      <c r="I8" s="23"/>
      <c r="J8" s="4"/>
    </row>
    <row r="9" spans="1:11">
      <c r="A9" s="4" t="s">
        <v>2</v>
      </c>
      <c r="B9" s="4"/>
      <c r="C9" s="4"/>
      <c r="D9" s="4"/>
      <c r="E9" s="4"/>
      <c r="F9" s="15"/>
      <c r="G9" s="9"/>
      <c r="H9" s="24"/>
      <c r="I9" s="23"/>
      <c r="J9" s="4"/>
    </row>
    <row r="10" spans="1:11">
      <c r="A10" s="4" t="s">
        <v>3</v>
      </c>
      <c r="B10" s="4"/>
      <c r="C10" s="4"/>
      <c r="D10" s="4"/>
      <c r="E10" s="4"/>
      <c r="F10" s="15"/>
      <c r="G10" s="9"/>
      <c r="H10" s="24"/>
      <c r="I10" s="23"/>
      <c r="J10" s="4"/>
    </row>
    <row r="11" spans="1:11">
      <c r="A11" s="4" t="s">
        <v>4</v>
      </c>
      <c r="B11" s="4"/>
      <c r="C11" s="4"/>
      <c r="D11" s="4"/>
      <c r="E11" s="4"/>
      <c r="F11" s="7"/>
      <c r="G11" s="9"/>
      <c r="H11" s="24"/>
      <c r="I11" s="23"/>
      <c r="J11" s="4"/>
    </row>
    <row r="12" spans="1:11">
      <c r="A12" s="4" t="s">
        <v>5</v>
      </c>
      <c r="B12" s="4"/>
      <c r="C12" s="4"/>
      <c r="D12" s="4"/>
      <c r="E12" s="4"/>
      <c r="F12" s="7"/>
      <c r="G12" s="9"/>
      <c r="H12" s="24"/>
      <c r="I12" s="23"/>
      <c r="J12" s="4"/>
    </row>
    <row r="13" spans="1:11">
      <c r="A13" s="4" t="s">
        <v>6</v>
      </c>
      <c r="B13" s="4"/>
      <c r="C13" s="4"/>
      <c r="D13" s="4"/>
      <c r="E13" s="4"/>
      <c r="F13" s="7"/>
      <c r="G13" s="9"/>
      <c r="H13" s="24"/>
      <c r="I13" s="23"/>
      <c r="J13" s="4"/>
    </row>
    <row r="14" spans="1:11">
      <c r="A14" s="4" t="s">
        <v>7</v>
      </c>
      <c r="B14" s="4"/>
      <c r="C14" s="4"/>
      <c r="D14" s="4"/>
      <c r="E14" s="4"/>
      <c r="F14" s="7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7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23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7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41800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41800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41800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2"/>
  <dimension ref="A1:K35"/>
  <sheetViews>
    <sheetView workbookViewId="0">
      <selection activeCell="L7" sqref="L7"/>
    </sheetView>
  </sheetViews>
  <sheetFormatPr defaultColWidth="8.7109375" defaultRowHeight="15"/>
  <cols>
    <col min="1" max="1" width="8.42578125" style="14" bestFit="1" customWidth="1"/>
    <col min="2" max="2" width="8.7109375" style="14"/>
    <col min="3" max="3" width="10" style="43" customWidth="1"/>
    <col min="4" max="4" width="6.7109375" style="43" bestFit="1" customWidth="1"/>
    <col min="5" max="5" width="3.5703125" style="14" bestFit="1" customWidth="1"/>
    <col min="6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08" t="s">
        <v>757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 ht="30">
      <c r="A4" s="6" t="s">
        <v>53</v>
      </c>
      <c r="B4" s="4" t="s">
        <v>12</v>
      </c>
      <c r="C4" s="4" t="s">
        <v>12</v>
      </c>
      <c r="D4" s="36">
        <v>7732</v>
      </c>
      <c r="E4" s="4"/>
      <c r="F4" s="7"/>
      <c r="G4" s="9"/>
      <c r="H4" s="26">
        <v>44817</v>
      </c>
      <c r="I4" s="23">
        <v>17065</v>
      </c>
      <c r="J4" s="4" t="s">
        <v>1102</v>
      </c>
    </row>
    <row r="5" spans="1:11">
      <c r="A5" s="23" t="s">
        <v>44</v>
      </c>
      <c r="B5" s="4"/>
      <c r="C5" s="4"/>
      <c r="D5" s="36">
        <v>8000</v>
      </c>
      <c r="E5" s="23"/>
      <c r="F5" s="23"/>
      <c r="G5" s="9"/>
      <c r="H5" s="26"/>
      <c r="I5" s="23"/>
      <c r="J5" s="4"/>
    </row>
    <row r="6" spans="1:11">
      <c r="A6" s="23" t="s">
        <v>45</v>
      </c>
      <c r="B6" s="4"/>
      <c r="C6" s="4"/>
      <c r="D6" s="36">
        <v>1333</v>
      </c>
      <c r="E6" s="23"/>
      <c r="F6" s="23" t="s">
        <v>1089</v>
      </c>
      <c r="G6" s="9"/>
      <c r="H6" s="26"/>
      <c r="I6" s="23"/>
      <c r="J6" s="4"/>
    </row>
    <row r="7" spans="1:11">
      <c r="A7" s="4" t="s">
        <v>0</v>
      </c>
      <c r="B7" s="4"/>
      <c r="C7" s="4"/>
      <c r="D7" s="4"/>
      <c r="E7" s="4"/>
      <c r="F7" s="8"/>
      <c r="G7" s="9"/>
      <c r="H7" s="26"/>
      <c r="I7" s="23"/>
      <c r="J7" s="4"/>
    </row>
    <row r="8" spans="1:11">
      <c r="A8" s="4" t="s">
        <v>1</v>
      </c>
      <c r="B8" s="4"/>
      <c r="C8" s="4"/>
      <c r="D8" s="4"/>
      <c r="E8" s="4"/>
      <c r="F8" s="7"/>
      <c r="G8" s="9"/>
      <c r="H8" s="24"/>
      <c r="I8" s="23"/>
      <c r="J8" s="4"/>
    </row>
    <row r="9" spans="1:11">
      <c r="A9" s="4" t="s">
        <v>2</v>
      </c>
      <c r="B9" s="4"/>
      <c r="C9" s="4"/>
      <c r="D9" s="4"/>
      <c r="E9" s="4"/>
      <c r="F9" s="15"/>
      <c r="G9" s="9"/>
      <c r="H9" s="24"/>
      <c r="I9" s="23"/>
      <c r="J9" s="4"/>
    </row>
    <row r="10" spans="1:11">
      <c r="A10" s="4" t="s">
        <v>3</v>
      </c>
      <c r="B10" s="4"/>
      <c r="C10" s="4"/>
      <c r="D10" s="4"/>
      <c r="E10" s="4"/>
      <c r="F10" s="15"/>
      <c r="G10" s="9"/>
      <c r="H10" s="24"/>
      <c r="I10" s="23"/>
      <c r="J10" s="4"/>
    </row>
    <row r="11" spans="1:11">
      <c r="A11" s="4" t="s">
        <v>4</v>
      </c>
      <c r="B11" s="4"/>
      <c r="C11" s="4"/>
      <c r="D11" s="4"/>
      <c r="E11" s="4"/>
      <c r="F11" s="7"/>
      <c r="G11" s="9"/>
      <c r="H11" s="24"/>
      <c r="I11" s="23"/>
      <c r="J11" s="4"/>
    </row>
    <row r="12" spans="1:11">
      <c r="A12" s="4" t="s">
        <v>5</v>
      </c>
      <c r="B12" s="4"/>
      <c r="C12" s="4"/>
      <c r="D12" s="4"/>
      <c r="E12" s="4"/>
      <c r="F12" s="7"/>
      <c r="G12" s="9"/>
      <c r="H12" s="24"/>
      <c r="I12" s="23"/>
      <c r="J12" s="4"/>
    </row>
    <row r="13" spans="1:11">
      <c r="A13" s="4" t="s">
        <v>6</v>
      </c>
      <c r="B13" s="4"/>
      <c r="C13" s="4"/>
      <c r="D13" s="4"/>
      <c r="E13" s="4"/>
      <c r="F13" s="7"/>
      <c r="G13" s="9"/>
      <c r="H13" s="24"/>
      <c r="I13" s="23"/>
      <c r="J13" s="4"/>
    </row>
    <row r="14" spans="1:11">
      <c r="A14" s="4" t="s">
        <v>7</v>
      </c>
      <c r="B14" s="4"/>
      <c r="C14" s="4"/>
      <c r="D14" s="4"/>
      <c r="E14" s="4"/>
      <c r="F14" s="7"/>
      <c r="G14" s="9"/>
      <c r="H14" s="26"/>
      <c r="I14" s="4"/>
      <c r="J14" s="4"/>
    </row>
    <row r="15" spans="1:11">
      <c r="A15" s="23" t="s">
        <v>8</v>
      </c>
      <c r="B15" s="4"/>
      <c r="C15" s="4"/>
      <c r="D15" s="4"/>
      <c r="E15" s="4"/>
      <c r="F15" s="7"/>
      <c r="G15" s="9"/>
      <c r="H15" s="26"/>
      <c r="I15" s="4"/>
      <c r="J15" s="4"/>
    </row>
    <row r="16" spans="1:11">
      <c r="A16" s="23" t="s">
        <v>48</v>
      </c>
      <c r="B16" s="4"/>
      <c r="C16" s="4"/>
      <c r="D16" s="4"/>
      <c r="E16" s="4"/>
      <c r="F16" s="23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7"/>
      <c r="G17" s="9"/>
      <c r="H17" s="26"/>
      <c r="I17" s="4"/>
      <c r="J17" s="4"/>
    </row>
    <row r="18" spans="1:10">
      <c r="A18" s="4" t="s">
        <v>19</v>
      </c>
      <c r="B18" s="4"/>
      <c r="C18" s="36"/>
      <c r="D18" s="113">
        <f>SUM(D4:D17)</f>
        <v>17065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17065</v>
      </c>
      <c r="D23" s="37"/>
      <c r="E23" s="2"/>
      <c r="F23" s="2"/>
      <c r="G23" s="9"/>
      <c r="H23" s="24"/>
      <c r="I23" s="23"/>
      <c r="J23" s="23"/>
    </row>
    <row r="24" spans="1:10">
      <c r="A24" s="297" t="s">
        <v>23</v>
      </c>
      <c r="B24" s="297"/>
      <c r="C24" s="36">
        <f>SUM(I4:I85)</f>
        <v>17065</v>
      </c>
      <c r="D24" s="37"/>
      <c r="E24" s="2"/>
      <c r="F24" s="2"/>
      <c r="G24" s="9"/>
      <c r="H24" s="24"/>
      <c r="I24" s="23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4"/>
      <c r="I25" s="23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5"/>
      <c r="I26" s="23"/>
      <c r="J26" s="4"/>
    </row>
    <row r="27" spans="1:10">
      <c r="A27" s="2"/>
      <c r="B27" s="2"/>
      <c r="C27" s="37"/>
      <c r="D27" s="37"/>
      <c r="E27" s="2"/>
      <c r="F27" s="2"/>
      <c r="G27" s="9"/>
      <c r="H27" s="24"/>
      <c r="I27" s="23"/>
      <c r="J27" s="4"/>
    </row>
    <row r="28" spans="1:10">
      <c r="A28" s="2"/>
      <c r="B28" s="2"/>
      <c r="C28" s="37"/>
      <c r="D28" s="37"/>
      <c r="E28" s="2"/>
      <c r="F28" s="2"/>
      <c r="G28" s="9"/>
      <c r="H28" s="26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6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7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7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7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3"/>
  <dimension ref="A1:K35"/>
  <sheetViews>
    <sheetView workbookViewId="0">
      <selection activeCell="O18" sqref="O18"/>
    </sheetView>
  </sheetViews>
  <sheetFormatPr defaultColWidth="8.7109375" defaultRowHeight="15"/>
  <cols>
    <col min="1" max="1" width="10.5703125" style="14" bestFit="1" customWidth="1"/>
    <col min="2" max="2" width="4.85546875" style="14" bestFit="1" customWidth="1"/>
    <col min="3" max="3" width="8.42578125" style="43" bestFit="1" customWidth="1"/>
    <col min="4" max="4" width="5.85546875" style="43" bestFit="1" customWidth="1"/>
    <col min="5" max="5" width="3.5703125" style="14" bestFit="1" customWidth="1"/>
    <col min="6" max="6" width="8.7109375" style="14"/>
    <col min="7" max="7" width="1" style="14" customWidth="1"/>
    <col min="8" max="8" width="10.7109375" style="29" bestFit="1" customWidth="1"/>
    <col min="9" max="9" width="7.5703125" style="14" bestFit="1" customWidth="1"/>
    <col min="10" max="10" width="17" style="14" customWidth="1"/>
    <col min="11" max="16384" width="8.7109375" style="14"/>
  </cols>
  <sheetData>
    <row r="1" spans="1:11">
      <c r="A1" s="208" t="s">
        <v>617</v>
      </c>
      <c r="B1" s="209"/>
      <c r="C1" s="209"/>
      <c r="D1" s="209"/>
      <c r="E1" s="209"/>
      <c r="F1" s="209"/>
      <c r="G1" s="209"/>
      <c r="H1" s="209"/>
      <c r="I1" s="209" t="s">
        <v>1153</v>
      </c>
      <c r="J1" s="210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>
      <c r="A4" s="6" t="s">
        <v>53</v>
      </c>
      <c r="B4" s="4" t="s">
        <v>12</v>
      </c>
      <c r="C4" s="4" t="s">
        <v>12</v>
      </c>
      <c r="D4" s="36">
        <v>2800</v>
      </c>
      <c r="E4" s="4"/>
      <c r="F4" s="7" t="s">
        <v>1089</v>
      </c>
      <c r="G4" s="9"/>
      <c r="H4" s="26">
        <v>44804</v>
      </c>
      <c r="I4" s="4">
        <v>2800</v>
      </c>
      <c r="J4" s="4"/>
    </row>
    <row r="5" spans="1:11">
      <c r="A5" s="23" t="s">
        <v>44</v>
      </c>
      <c r="B5" s="4" t="s">
        <v>12</v>
      </c>
      <c r="C5" s="4" t="s">
        <v>12</v>
      </c>
      <c r="D5" s="39">
        <v>0</v>
      </c>
      <c r="E5" s="23"/>
      <c r="F5" s="8"/>
      <c r="G5" s="9"/>
      <c r="H5" s="26"/>
      <c r="I5" s="4"/>
      <c r="J5" s="4"/>
    </row>
    <row r="6" spans="1:11">
      <c r="A6" s="23" t="s">
        <v>45</v>
      </c>
      <c r="B6" s="4" t="s">
        <v>12</v>
      </c>
      <c r="C6" s="4" t="s">
        <v>12</v>
      </c>
      <c r="D6" s="39">
        <v>0</v>
      </c>
      <c r="E6" s="23"/>
      <c r="F6" s="7"/>
      <c r="G6" s="9"/>
      <c r="H6" s="26"/>
      <c r="I6" s="4"/>
      <c r="J6" s="4"/>
    </row>
    <row r="7" spans="1:11">
      <c r="A7" s="4" t="s">
        <v>0</v>
      </c>
      <c r="B7" s="4" t="s">
        <v>12</v>
      </c>
      <c r="C7" s="4" t="s">
        <v>12</v>
      </c>
      <c r="D7" s="36">
        <v>0</v>
      </c>
      <c r="E7" s="4"/>
      <c r="F7" s="15"/>
      <c r="G7" s="9"/>
      <c r="H7" s="26"/>
      <c r="I7" s="4"/>
      <c r="J7" s="4"/>
    </row>
    <row r="8" spans="1:11">
      <c r="A8" s="4" t="s">
        <v>1</v>
      </c>
      <c r="B8" s="4" t="s">
        <v>12</v>
      </c>
      <c r="C8" s="4" t="s">
        <v>12</v>
      </c>
      <c r="D8" s="36">
        <v>0</v>
      </c>
      <c r="E8" s="4"/>
      <c r="F8" s="15"/>
      <c r="G8" s="9"/>
      <c r="H8" s="26"/>
      <c r="I8" s="4"/>
      <c r="J8" s="4"/>
    </row>
    <row r="9" spans="1:11">
      <c r="A9" s="4" t="s">
        <v>2</v>
      </c>
      <c r="B9" s="4" t="s">
        <v>12</v>
      </c>
      <c r="C9" s="4" t="s">
        <v>12</v>
      </c>
      <c r="D9" s="36">
        <v>0</v>
      </c>
      <c r="E9" s="4"/>
      <c r="F9" s="7"/>
      <c r="G9" s="9"/>
      <c r="H9" s="26"/>
      <c r="I9" s="4"/>
      <c r="J9" s="4"/>
    </row>
    <row r="10" spans="1:11">
      <c r="A10" s="4" t="s">
        <v>3</v>
      </c>
      <c r="B10" s="4" t="s">
        <v>12</v>
      </c>
      <c r="C10" s="4" t="s">
        <v>12</v>
      </c>
      <c r="D10" s="36">
        <v>0</v>
      </c>
      <c r="E10" s="4"/>
      <c r="F10" s="7"/>
      <c r="G10" s="9"/>
      <c r="H10" s="26"/>
      <c r="I10" s="4"/>
      <c r="J10" s="4"/>
    </row>
    <row r="11" spans="1:11">
      <c r="A11" s="4" t="s">
        <v>4</v>
      </c>
      <c r="B11" s="4" t="s">
        <v>12</v>
      </c>
      <c r="C11" s="4" t="s">
        <v>12</v>
      </c>
      <c r="D11" s="36">
        <v>0</v>
      </c>
      <c r="E11" s="4"/>
      <c r="F11" s="7"/>
      <c r="G11" s="9"/>
      <c r="H11" s="26"/>
      <c r="I11" s="4"/>
      <c r="J11" s="4"/>
    </row>
    <row r="12" spans="1:11">
      <c r="A12" s="4" t="s">
        <v>5</v>
      </c>
      <c r="B12" s="4" t="s">
        <v>12</v>
      </c>
      <c r="C12" s="4" t="s">
        <v>12</v>
      </c>
      <c r="D12" s="36">
        <v>0</v>
      </c>
      <c r="E12" s="4"/>
      <c r="F12" s="7"/>
      <c r="G12" s="9"/>
      <c r="H12" s="26"/>
      <c r="I12" s="4"/>
      <c r="J12" s="4"/>
    </row>
    <row r="13" spans="1:11">
      <c r="A13" s="4" t="s">
        <v>6</v>
      </c>
      <c r="B13" s="4" t="s">
        <v>12</v>
      </c>
      <c r="C13" s="4" t="s">
        <v>12</v>
      </c>
      <c r="D13" s="36">
        <v>0</v>
      </c>
      <c r="E13" s="4"/>
      <c r="F13" s="7"/>
      <c r="G13" s="9"/>
      <c r="H13" s="26"/>
      <c r="I13" s="4"/>
      <c r="J13" s="4"/>
    </row>
    <row r="14" spans="1:11">
      <c r="A14" s="4" t="s">
        <v>7</v>
      </c>
      <c r="B14" s="4" t="s">
        <v>12</v>
      </c>
      <c r="C14" s="4" t="s">
        <v>12</v>
      </c>
      <c r="D14" s="36">
        <v>0</v>
      </c>
      <c r="E14" s="4"/>
      <c r="F14" s="7"/>
      <c r="G14" s="9"/>
      <c r="H14" s="26"/>
      <c r="I14" s="4"/>
      <c r="J14" s="4"/>
    </row>
    <row r="15" spans="1:11">
      <c r="A15" s="23" t="s">
        <v>8</v>
      </c>
      <c r="B15" s="4" t="s">
        <v>12</v>
      </c>
      <c r="C15" s="4" t="s">
        <v>12</v>
      </c>
      <c r="D15" s="36">
        <v>0</v>
      </c>
      <c r="E15" s="23"/>
      <c r="F15" s="23"/>
      <c r="G15" s="9"/>
      <c r="H15" s="26"/>
      <c r="I15" s="4"/>
      <c r="J15" s="4"/>
    </row>
    <row r="16" spans="1:11">
      <c r="A16" s="23" t="s">
        <v>48</v>
      </c>
      <c r="B16" s="4" t="s">
        <v>12</v>
      </c>
      <c r="C16" s="4" t="s">
        <v>12</v>
      </c>
      <c r="D16" s="36">
        <v>0</v>
      </c>
      <c r="E16" s="23"/>
      <c r="F16" s="23"/>
      <c r="G16" s="9"/>
      <c r="H16" s="26"/>
      <c r="I16" s="4"/>
      <c r="J16" s="4"/>
    </row>
    <row r="17" spans="1:10">
      <c r="A17" s="4" t="s">
        <v>20</v>
      </c>
      <c r="B17" s="4"/>
      <c r="C17" s="36"/>
      <c r="D17" s="36">
        <v>0</v>
      </c>
      <c r="E17" s="4"/>
      <c r="F17" s="7"/>
      <c r="G17" s="9"/>
      <c r="H17" s="27"/>
      <c r="I17" s="4"/>
      <c r="J17" s="4"/>
    </row>
    <row r="18" spans="1:10">
      <c r="A18" s="4" t="s">
        <v>19</v>
      </c>
      <c r="B18" s="4"/>
      <c r="C18" s="36"/>
      <c r="D18" s="36">
        <f>SUM(D4:D17)</f>
        <v>2800</v>
      </c>
      <c r="E18" s="4"/>
      <c r="F18" s="7"/>
      <c r="G18" s="9"/>
      <c r="H18" s="27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7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7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D18</f>
        <v>2800</v>
      </c>
      <c r="D23" s="37"/>
      <c r="E23" s="2"/>
      <c r="F23" s="2"/>
      <c r="G23" s="9"/>
      <c r="H23" s="26"/>
      <c r="I23" s="4"/>
      <c r="J23" s="4"/>
    </row>
    <row r="24" spans="1:10">
      <c r="A24" s="297" t="s">
        <v>23</v>
      </c>
      <c r="B24" s="297"/>
      <c r="C24" s="36">
        <f>SUM(I4:I45)</f>
        <v>2800</v>
      </c>
      <c r="D24" s="37"/>
      <c r="E24" s="2"/>
      <c r="F24" s="2"/>
      <c r="G24" s="9"/>
      <c r="H24" s="27"/>
      <c r="I24" s="4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7"/>
      <c r="I25" s="4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6"/>
      <c r="I26" s="4"/>
      <c r="J26" s="4"/>
    </row>
    <row r="27" spans="1:10">
      <c r="A27" s="2"/>
      <c r="B27" s="2"/>
      <c r="C27" s="37"/>
      <c r="D27" s="37"/>
      <c r="E27" s="2"/>
      <c r="F27" s="2"/>
      <c r="G27" s="9"/>
      <c r="H27" s="26"/>
      <c r="I27" s="4"/>
      <c r="J27" s="4"/>
    </row>
    <row r="28" spans="1:10">
      <c r="A28" s="2"/>
      <c r="B28" s="2"/>
      <c r="C28" s="37"/>
      <c r="D28" s="37"/>
      <c r="E28" s="2"/>
      <c r="F28" s="2"/>
      <c r="G28" s="9"/>
      <c r="H28" s="27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7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6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6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6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4"/>
  <dimension ref="A1:M35"/>
  <sheetViews>
    <sheetView workbookViewId="0">
      <selection activeCell="M15" sqref="M15"/>
    </sheetView>
  </sheetViews>
  <sheetFormatPr defaultColWidth="8.7109375" defaultRowHeight="15"/>
  <cols>
    <col min="1" max="1" width="11.140625" style="14" customWidth="1"/>
    <col min="2" max="2" width="8.7109375" style="14"/>
    <col min="3" max="3" width="6.85546875" style="43" bestFit="1" customWidth="1"/>
    <col min="4" max="4" width="5.85546875" style="43" bestFit="1" customWidth="1"/>
    <col min="5" max="6" width="8.7109375" style="14"/>
    <col min="7" max="7" width="2.140625" style="14" customWidth="1"/>
    <col min="8" max="8" width="10.7109375" style="29" bestFit="1" customWidth="1"/>
    <col min="9" max="9" width="7.5703125" style="14" bestFit="1" customWidth="1"/>
    <col min="10" max="10" width="17.85546875" style="14" customWidth="1"/>
    <col min="11" max="16384" width="8.7109375" style="14"/>
  </cols>
  <sheetData>
    <row r="1" spans="1:13">
      <c r="A1" s="232" t="s">
        <v>798</v>
      </c>
      <c r="B1" s="232"/>
      <c r="C1" s="232"/>
      <c r="D1" s="232"/>
      <c r="E1" s="232"/>
      <c r="F1" s="232"/>
      <c r="G1" s="232"/>
      <c r="H1" s="232"/>
      <c r="I1" s="232" t="s">
        <v>1153</v>
      </c>
      <c r="J1" s="232"/>
    </row>
    <row r="2" spans="1:13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3">
      <c r="A3" s="10"/>
      <c r="B3" s="10" t="s">
        <v>56</v>
      </c>
      <c r="C3" s="40" t="s">
        <v>14</v>
      </c>
      <c r="D3" s="40" t="s">
        <v>449</v>
      </c>
      <c r="E3" s="10" t="s">
        <v>448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3">
      <c r="A4" s="6" t="s">
        <v>53</v>
      </c>
      <c r="B4" s="4"/>
      <c r="C4" s="36">
        <v>0</v>
      </c>
      <c r="D4" s="36">
        <v>0</v>
      </c>
      <c r="E4" s="4"/>
      <c r="F4" s="7"/>
      <c r="G4" s="9"/>
      <c r="H4" s="26">
        <v>44747</v>
      </c>
      <c r="I4" s="4">
        <v>5000</v>
      </c>
      <c r="J4" s="4"/>
    </row>
    <row r="5" spans="1:13">
      <c r="A5" s="4" t="s">
        <v>44</v>
      </c>
      <c r="B5" s="36"/>
      <c r="C5" s="36">
        <v>5366</v>
      </c>
      <c r="D5" s="36"/>
      <c r="E5" s="36"/>
      <c r="F5" s="36"/>
      <c r="G5" s="9"/>
      <c r="H5" s="26">
        <v>44801</v>
      </c>
      <c r="I5" s="4">
        <v>8300</v>
      </c>
      <c r="J5" s="4"/>
    </row>
    <row r="6" spans="1:13">
      <c r="A6" s="4" t="s">
        <v>45</v>
      </c>
      <c r="B6" s="36"/>
      <c r="C6" s="36">
        <v>2333</v>
      </c>
      <c r="D6" s="36"/>
      <c r="E6" s="4"/>
      <c r="F6" s="7"/>
      <c r="G6" s="9"/>
      <c r="H6" s="26">
        <v>44931</v>
      </c>
      <c r="I6" s="4">
        <v>5000</v>
      </c>
      <c r="J6" s="4"/>
    </row>
    <row r="7" spans="1:13">
      <c r="A7" s="4" t="s">
        <v>0</v>
      </c>
      <c r="B7" s="36"/>
      <c r="C7" s="36">
        <v>933</v>
      </c>
      <c r="D7" s="36"/>
      <c r="E7" s="4"/>
      <c r="F7" s="15"/>
      <c r="G7" s="9"/>
      <c r="H7" s="26"/>
      <c r="I7" s="4"/>
      <c r="J7" s="4"/>
    </row>
    <row r="8" spans="1:13">
      <c r="A8" s="4" t="s">
        <v>57</v>
      </c>
      <c r="B8" s="36"/>
      <c r="C8" s="36">
        <v>3200</v>
      </c>
      <c r="D8" s="36"/>
      <c r="E8" s="4"/>
      <c r="F8" s="15"/>
      <c r="G8" s="9"/>
      <c r="H8" s="26"/>
      <c r="I8" s="4"/>
      <c r="J8" s="4"/>
    </row>
    <row r="9" spans="1:13">
      <c r="A9" s="4" t="s">
        <v>2</v>
      </c>
      <c r="B9" s="36"/>
      <c r="C9" s="36">
        <v>1200</v>
      </c>
      <c r="D9" s="36"/>
      <c r="E9" s="4"/>
      <c r="F9" s="7"/>
      <c r="G9" s="9"/>
      <c r="H9" s="26"/>
      <c r="I9" s="4"/>
      <c r="J9" s="4"/>
    </row>
    <row r="10" spans="1:13">
      <c r="A10" s="4" t="s">
        <v>3</v>
      </c>
      <c r="B10" s="36"/>
      <c r="C10" s="36">
        <v>5000</v>
      </c>
      <c r="D10" s="36"/>
      <c r="E10" s="4" t="s">
        <v>1089</v>
      </c>
      <c r="G10" s="9"/>
      <c r="H10" s="26"/>
      <c r="I10" s="4"/>
      <c r="J10" s="4"/>
    </row>
    <row r="11" spans="1:13">
      <c r="A11" s="4" t="s">
        <v>4</v>
      </c>
      <c r="B11" s="36"/>
      <c r="C11" s="36">
        <v>268</v>
      </c>
      <c r="D11" s="36"/>
      <c r="E11" s="4"/>
      <c r="F11" s="7" t="s">
        <v>1170</v>
      </c>
      <c r="G11" s="9"/>
      <c r="H11" s="26"/>
      <c r="I11" s="4"/>
      <c r="J11" s="4"/>
      <c r="M11" s="43"/>
    </row>
    <row r="12" spans="1:13">
      <c r="A12" s="4" t="s">
        <v>5</v>
      </c>
      <c r="B12" s="36"/>
      <c r="C12" s="36"/>
      <c r="D12" s="36"/>
      <c r="E12" s="4"/>
      <c r="F12" s="7"/>
      <c r="G12" s="9"/>
      <c r="H12" s="26"/>
      <c r="I12" s="4"/>
      <c r="J12" s="4"/>
    </row>
    <row r="13" spans="1:13">
      <c r="A13" s="4" t="s">
        <v>6</v>
      </c>
      <c r="B13" s="36"/>
      <c r="C13" s="36"/>
      <c r="D13" s="36"/>
      <c r="E13" s="4"/>
      <c r="F13" s="7"/>
      <c r="G13" s="9"/>
      <c r="H13" s="26"/>
      <c r="I13" s="4"/>
      <c r="J13" s="4"/>
    </row>
    <row r="14" spans="1:13">
      <c r="A14" s="4" t="s">
        <v>7</v>
      </c>
      <c r="B14" s="36"/>
      <c r="C14" s="36"/>
      <c r="D14" s="36"/>
      <c r="E14" s="4"/>
      <c r="F14" s="7"/>
      <c r="G14" s="9"/>
      <c r="H14" s="26"/>
      <c r="I14" s="4"/>
      <c r="J14" s="4"/>
    </row>
    <row r="15" spans="1:13">
      <c r="A15" s="23" t="s">
        <v>8</v>
      </c>
      <c r="B15" s="36"/>
      <c r="C15" s="36"/>
      <c r="D15" s="36"/>
      <c r="E15" s="4"/>
      <c r="F15" s="7"/>
      <c r="G15" s="9"/>
      <c r="H15" s="26"/>
      <c r="I15" s="4"/>
      <c r="J15" s="4"/>
    </row>
    <row r="16" spans="1:13">
      <c r="A16" s="23" t="s">
        <v>48</v>
      </c>
      <c r="B16" s="36"/>
      <c r="C16" s="36"/>
      <c r="D16" s="36"/>
      <c r="E16" s="23"/>
      <c r="F16" s="23"/>
      <c r="G16" s="9"/>
      <c r="H16" s="26"/>
      <c r="I16" s="4"/>
      <c r="J16" s="4"/>
    </row>
    <row r="17" spans="1:10">
      <c r="A17" s="4" t="s">
        <v>20</v>
      </c>
      <c r="B17" s="4"/>
      <c r="C17" s="36"/>
      <c r="D17" s="36"/>
      <c r="E17" s="4"/>
      <c r="F17" s="7"/>
      <c r="G17" s="9"/>
      <c r="H17" s="26"/>
      <c r="I17" s="4"/>
      <c r="J17" s="4"/>
    </row>
    <row r="18" spans="1:10">
      <c r="A18" s="4" t="s">
        <v>19</v>
      </c>
      <c r="B18" s="4"/>
      <c r="C18" s="36"/>
      <c r="D18" s="36">
        <f>SUM(D4:D17)</f>
        <v>0</v>
      </c>
      <c r="E18" s="4"/>
      <c r="F18" s="7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7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SUM(C4:C17)</f>
        <v>18300</v>
      </c>
      <c r="D23" s="37"/>
      <c r="E23" s="2"/>
      <c r="F23" s="2"/>
      <c r="G23" s="9"/>
      <c r="H23" s="26"/>
      <c r="I23" s="4"/>
      <c r="J23" s="4"/>
    </row>
    <row r="24" spans="1:10">
      <c r="A24" s="297" t="s">
        <v>23</v>
      </c>
      <c r="B24" s="297"/>
      <c r="C24" s="36">
        <f>SUM(I4:I54)</f>
        <v>18300</v>
      </c>
      <c r="D24" s="37"/>
      <c r="E24" s="2"/>
      <c r="F24" s="2"/>
      <c r="G24" s="9"/>
      <c r="H24" s="27"/>
      <c r="I24" s="4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7"/>
      <c r="I25" s="4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6"/>
      <c r="I26" s="4"/>
      <c r="J26" s="4"/>
    </row>
    <row r="27" spans="1:10">
      <c r="A27" s="2"/>
      <c r="B27" s="2"/>
      <c r="C27" s="37"/>
      <c r="D27" s="37"/>
      <c r="E27" s="2"/>
      <c r="F27" s="2"/>
      <c r="G27" s="9"/>
      <c r="H27" s="26"/>
      <c r="I27" s="4"/>
      <c r="J27" s="4"/>
    </row>
    <row r="28" spans="1:10">
      <c r="A28" s="2"/>
      <c r="B28" s="2"/>
      <c r="C28" s="37"/>
      <c r="D28" s="37"/>
      <c r="E28" s="2"/>
      <c r="F28" s="2"/>
      <c r="G28" s="9"/>
      <c r="H28" s="27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7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6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6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6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  <pageSetup orientation="portrait" r:id="rId1"/>
  <headerFooter>
    <oddHeader>Page &amp;P of &amp;N</oddHeader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5"/>
  <dimension ref="A1:K35"/>
  <sheetViews>
    <sheetView workbookViewId="0">
      <selection activeCell="K7" sqref="K7"/>
    </sheetView>
  </sheetViews>
  <sheetFormatPr defaultColWidth="8.7109375" defaultRowHeight="15"/>
  <cols>
    <col min="1" max="1" width="14.7109375" style="14" customWidth="1"/>
    <col min="2" max="2" width="4.85546875" style="14" bestFit="1" customWidth="1"/>
    <col min="3" max="3" width="8.7109375" style="43"/>
    <col min="4" max="4" width="7" style="43" customWidth="1"/>
    <col min="5" max="6" width="8.7109375" style="14"/>
    <col min="7" max="7" width="2.28515625" style="14" customWidth="1"/>
    <col min="8" max="8" width="13.140625" style="29" customWidth="1"/>
    <col min="9" max="9" width="7.5703125" style="14" bestFit="1" customWidth="1"/>
    <col min="10" max="10" width="13.5703125" style="14" customWidth="1"/>
    <col min="11" max="16384" width="8.7109375" style="14"/>
  </cols>
  <sheetData>
    <row r="1" spans="1:11">
      <c r="A1" s="232" t="s">
        <v>616</v>
      </c>
      <c r="B1" s="232"/>
      <c r="C1" s="232"/>
      <c r="D1" s="232"/>
      <c r="E1" s="232"/>
      <c r="F1" s="232"/>
      <c r="G1" s="232"/>
      <c r="H1" s="232"/>
      <c r="I1" s="232" t="s">
        <v>1153</v>
      </c>
      <c r="J1" s="232"/>
    </row>
    <row r="2" spans="1:11">
      <c r="A2" s="208" t="s">
        <v>10</v>
      </c>
      <c r="B2" s="209"/>
      <c r="C2" s="209"/>
      <c r="D2" s="209"/>
      <c r="E2" s="209"/>
      <c r="F2" s="210"/>
      <c r="G2" s="9"/>
      <c r="H2" s="208" t="s">
        <v>18</v>
      </c>
      <c r="I2" s="209" t="s">
        <v>1153</v>
      </c>
      <c r="J2" s="210"/>
    </row>
    <row r="3" spans="1:11">
      <c r="A3" s="10"/>
      <c r="B3" s="10" t="s">
        <v>56</v>
      </c>
      <c r="C3" s="40" t="s">
        <v>14</v>
      </c>
      <c r="D3" s="40" t="s">
        <v>449</v>
      </c>
      <c r="E3" s="10" t="s">
        <v>13</v>
      </c>
      <c r="F3" s="12" t="s">
        <v>11</v>
      </c>
      <c r="G3" s="9"/>
      <c r="H3" s="216" t="s">
        <v>16</v>
      </c>
      <c r="I3" s="10" t="s">
        <v>17</v>
      </c>
      <c r="J3" s="10" t="s">
        <v>11</v>
      </c>
      <c r="K3" s="14" t="s">
        <v>1151</v>
      </c>
    </row>
    <row r="4" spans="1:11">
      <c r="A4" s="6" t="s">
        <v>53</v>
      </c>
      <c r="B4" s="4" t="s">
        <v>12</v>
      </c>
      <c r="C4" s="4" t="s">
        <v>12</v>
      </c>
      <c r="D4" s="36">
        <v>36706</v>
      </c>
      <c r="E4" s="4"/>
      <c r="F4" s="7"/>
      <c r="G4" s="9"/>
      <c r="H4" s="26">
        <v>44896</v>
      </c>
      <c r="I4" s="4">
        <v>10000</v>
      </c>
      <c r="J4" s="4"/>
    </row>
    <row r="5" spans="1:11">
      <c r="A5" s="23" t="s">
        <v>44</v>
      </c>
      <c r="B5" s="4" t="s">
        <v>12</v>
      </c>
      <c r="C5" s="4" t="s">
        <v>12</v>
      </c>
      <c r="D5" s="36">
        <v>0</v>
      </c>
      <c r="E5" s="23"/>
      <c r="F5" s="23"/>
      <c r="G5" s="9"/>
      <c r="H5" s="24">
        <v>44910</v>
      </c>
      <c r="I5" s="23">
        <v>10000</v>
      </c>
      <c r="J5" s="4"/>
    </row>
    <row r="6" spans="1:11">
      <c r="A6" s="23" t="s">
        <v>49</v>
      </c>
      <c r="B6" s="4" t="s">
        <v>12</v>
      </c>
      <c r="C6" s="4" t="s">
        <v>12</v>
      </c>
      <c r="D6" s="39">
        <v>0</v>
      </c>
      <c r="E6" s="23"/>
      <c r="F6" s="23"/>
      <c r="G6" s="9"/>
      <c r="H6" s="24">
        <v>44922</v>
      </c>
      <c r="I6" s="23">
        <v>16706</v>
      </c>
      <c r="J6" s="4"/>
    </row>
    <row r="7" spans="1:11">
      <c r="A7" s="4" t="s">
        <v>0</v>
      </c>
      <c r="B7" s="4" t="s">
        <v>12</v>
      </c>
      <c r="C7" s="4" t="s">
        <v>12</v>
      </c>
      <c r="D7" s="36">
        <v>0</v>
      </c>
      <c r="E7" s="4"/>
      <c r="F7" s="23"/>
      <c r="G7" s="9"/>
      <c r="H7" s="26"/>
      <c r="I7" s="4"/>
      <c r="J7" s="4"/>
    </row>
    <row r="8" spans="1:11">
      <c r="A8" s="4" t="s">
        <v>1</v>
      </c>
      <c r="B8" s="4" t="s">
        <v>12</v>
      </c>
      <c r="C8" s="4" t="s">
        <v>12</v>
      </c>
      <c r="D8" s="36">
        <v>0</v>
      </c>
      <c r="E8" s="4"/>
      <c r="F8" s="4"/>
      <c r="G8" s="9"/>
      <c r="H8" s="26"/>
      <c r="I8" s="4"/>
      <c r="J8" s="4"/>
    </row>
    <row r="9" spans="1:11">
      <c r="A9" s="4" t="s">
        <v>2</v>
      </c>
      <c r="B9" s="4" t="s">
        <v>12</v>
      </c>
      <c r="C9" s="4" t="s">
        <v>12</v>
      </c>
      <c r="D9" s="36">
        <v>0</v>
      </c>
      <c r="E9" s="4"/>
      <c r="F9" s="30"/>
      <c r="G9" s="9"/>
      <c r="H9" s="26"/>
      <c r="I9" s="4"/>
      <c r="J9" s="4"/>
    </row>
    <row r="10" spans="1:11">
      <c r="A10" s="4" t="s">
        <v>3</v>
      </c>
      <c r="B10" s="4" t="s">
        <v>12</v>
      </c>
      <c r="C10" s="4" t="s">
        <v>12</v>
      </c>
      <c r="D10" s="36">
        <v>0</v>
      </c>
      <c r="E10" s="4"/>
      <c r="F10" s="30"/>
      <c r="G10" s="9"/>
      <c r="H10" s="26"/>
      <c r="I10" s="4"/>
      <c r="J10" s="4"/>
    </row>
    <row r="11" spans="1:11">
      <c r="A11" s="4" t="s">
        <v>4</v>
      </c>
      <c r="B11" s="4" t="s">
        <v>12</v>
      </c>
      <c r="C11" s="4" t="s">
        <v>12</v>
      </c>
      <c r="D11" s="36">
        <v>0</v>
      </c>
      <c r="E11" s="4"/>
      <c r="F11" s="4"/>
      <c r="G11" s="9"/>
      <c r="H11" s="26"/>
      <c r="I11" s="4"/>
      <c r="J11" s="4"/>
    </row>
    <row r="12" spans="1:11">
      <c r="A12" s="4" t="s">
        <v>5</v>
      </c>
      <c r="B12" s="4" t="s">
        <v>12</v>
      </c>
      <c r="C12" s="4" t="s">
        <v>12</v>
      </c>
      <c r="D12" s="36">
        <v>0</v>
      </c>
      <c r="E12" s="4"/>
      <c r="F12" s="4"/>
      <c r="G12" s="9"/>
      <c r="H12" s="24"/>
      <c r="I12" s="23"/>
      <c r="J12" s="4"/>
    </row>
    <row r="13" spans="1:11">
      <c r="A13" s="4" t="s">
        <v>6</v>
      </c>
      <c r="B13" s="4" t="s">
        <v>12</v>
      </c>
      <c r="C13" s="4" t="s">
        <v>12</v>
      </c>
      <c r="D13" s="36">
        <v>0</v>
      </c>
      <c r="E13" s="4"/>
      <c r="F13" s="4"/>
      <c r="G13" s="9"/>
      <c r="H13" s="24"/>
      <c r="I13" s="23"/>
      <c r="J13" s="4"/>
    </row>
    <row r="14" spans="1:11">
      <c r="A14" s="4" t="s">
        <v>7</v>
      </c>
      <c r="B14" s="4" t="s">
        <v>12</v>
      </c>
      <c r="C14" s="4" t="s">
        <v>12</v>
      </c>
      <c r="D14" s="36">
        <v>0</v>
      </c>
      <c r="E14" s="4"/>
      <c r="F14" s="4"/>
      <c r="G14" s="9"/>
      <c r="H14" s="26"/>
      <c r="I14" s="4"/>
      <c r="J14" s="4"/>
    </row>
    <row r="15" spans="1:11">
      <c r="A15" s="4" t="s">
        <v>8</v>
      </c>
      <c r="B15" s="4" t="s">
        <v>12</v>
      </c>
      <c r="C15" s="4" t="s">
        <v>12</v>
      </c>
      <c r="D15" s="36">
        <v>0</v>
      </c>
      <c r="E15" s="4"/>
      <c r="F15" s="4"/>
      <c r="G15" s="9"/>
      <c r="H15" s="26"/>
      <c r="I15" s="4"/>
      <c r="J15" s="4"/>
    </row>
    <row r="16" spans="1:11">
      <c r="A16" s="4" t="s">
        <v>48</v>
      </c>
      <c r="B16" s="4" t="s">
        <v>12</v>
      </c>
      <c r="C16" s="4" t="s">
        <v>12</v>
      </c>
      <c r="D16" s="36">
        <v>0</v>
      </c>
      <c r="E16" s="4"/>
      <c r="F16" s="4"/>
      <c r="G16" s="9"/>
      <c r="H16" s="27"/>
      <c r="I16" s="4"/>
      <c r="J16" s="4"/>
    </row>
    <row r="17" spans="1:10">
      <c r="A17" s="4" t="s">
        <v>20</v>
      </c>
      <c r="B17" s="4"/>
      <c r="C17" s="36"/>
      <c r="D17" s="36"/>
      <c r="E17" s="4"/>
      <c r="F17" s="4"/>
      <c r="G17" s="9"/>
      <c r="H17" s="26"/>
      <c r="I17" s="4"/>
      <c r="J17" s="4"/>
    </row>
    <row r="18" spans="1:10">
      <c r="A18" s="4" t="s">
        <v>31</v>
      </c>
      <c r="B18" s="4"/>
      <c r="C18" s="36"/>
      <c r="D18" s="36">
        <f>SUM(D4:D17)</f>
        <v>36706</v>
      </c>
      <c r="E18" s="4"/>
      <c r="F18" s="4"/>
      <c r="G18" s="9"/>
      <c r="H18" s="26"/>
      <c r="I18" s="4"/>
      <c r="J18" s="4"/>
    </row>
    <row r="19" spans="1:10">
      <c r="A19" s="2"/>
      <c r="B19" s="2"/>
      <c r="C19" s="37"/>
      <c r="D19" s="37"/>
      <c r="E19" s="2"/>
      <c r="F19" s="2"/>
      <c r="G19" s="9"/>
      <c r="H19" s="26"/>
      <c r="I19" s="4"/>
      <c r="J19" s="4"/>
    </row>
    <row r="20" spans="1:10">
      <c r="A20" s="2"/>
      <c r="B20" s="2"/>
      <c r="C20" s="37"/>
      <c r="D20" s="37"/>
      <c r="E20" s="2"/>
      <c r="F20" s="2"/>
      <c r="G20" s="9"/>
      <c r="H20" s="26"/>
      <c r="I20" s="4"/>
      <c r="J20" s="4"/>
    </row>
    <row r="21" spans="1:10">
      <c r="A21" s="295" t="s">
        <v>21</v>
      </c>
      <c r="B21" s="295"/>
      <c r="C21" s="295"/>
      <c r="D21" s="295"/>
      <c r="E21" s="295"/>
      <c r="F21" s="295"/>
      <c r="G21" s="9"/>
      <c r="H21" s="26"/>
      <c r="I21" s="4"/>
      <c r="J21" s="4"/>
    </row>
    <row r="22" spans="1:10">
      <c r="A22" s="2"/>
      <c r="B22" s="2"/>
      <c r="C22" s="37"/>
      <c r="D22" s="37"/>
      <c r="E22" s="2"/>
      <c r="F22" s="2"/>
      <c r="G22" s="9"/>
      <c r="H22" s="26"/>
      <c r="I22" s="4"/>
      <c r="J22" s="4"/>
    </row>
    <row r="23" spans="1:10">
      <c r="A23" s="297" t="s">
        <v>22</v>
      </c>
      <c r="B23" s="297"/>
      <c r="C23" s="36">
        <f>SUM(D4:D17)</f>
        <v>36706</v>
      </c>
      <c r="D23" s="37"/>
      <c r="E23" s="2"/>
      <c r="F23" s="2"/>
      <c r="G23" s="9"/>
      <c r="H23" s="26"/>
      <c r="I23" s="4"/>
      <c r="J23" s="4"/>
    </row>
    <row r="24" spans="1:10">
      <c r="A24" s="297" t="s">
        <v>23</v>
      </c>
      <c r="B24" s="297"/>
      <c r="C24" s="36">
        <f>SUM(I4:I55)</f>
        <v>36706</v>
      </c>
      <c r="D24" s="37"/>
      <c r="E24" s="2"/>
      <c r="F24" s="2"/>
      <c r="G24" s="9"/>
      <c r="H24" s="26"/>
      <c r="I24" s="4"/>
      <c r="J24" s="4"/>
    </row>
    <row r="25" spans="1:10">
      <c r="A25" s="297" t="s">
        <v>24</v>
      </c>
      <c r="B25" s="297"/>
      <c r="C25" s="36">
        <f>C23-C24</f>
        <v>0</v>
      </c>
      <c r="D25" s="37"/>
      <c r="E25" s="2"/>
      <c r="F25" s="2"/>
      <c r="G25" s="9"/>
      <c r="H25" s="26"/>
      <c r="I25" s="4"/>
      <c r="J25" s="4"/>
    </row>
    <row r="26" spans="1:10">
      <c r="A26" s="297" t="s">
        <v>25</v>
      </c>
      <c r="B26" s="297"/>
      <c r="C26" s="36" t="s">
        <v>12</v>
      </c>
      <c r="D26" s="37"/>
      <c r="E26" s="2"/>
      <c r="F26" s="2"/>
      <c r="G26" s="9"/>
      <c r="H26" s="26"/>
      <c r="I26" s="4"/>
      <c r="J26" s="4"/>
    </row>
    <row r="27" spans="1:10">
      <c r="A27" s="2"/>
      <c r="B27" s="2"/>
      <c r="C27" s="37"/>
      <c r="D27" s="37"/>
      <c r="E27" s="2"/>
      <c r="F27" s="2"/>
      <c r="G27" s="9"/>
      <c r="H27" s="26"/>
      <c r="I27" s="4"/>
      <c r="J27" s="4"/>
    </row>
    <row r="28" spans="1:10">
      <c r="A28" s="2"/>
      <c r="B28" s="2"/>
      <c r="C28" s="37"/>
      <c r="D28" s="37"/>
      <c r="E28" s="2"/>
      <c r="F28" s="2"/>
      <c r="G28" s="9"/>
      <c r="H28" s="27"/>
      <c r="I28" s="4"/>
      <c r="J28" s="4"/>
    </row>
    <row r="29" spans="1:10">
      <c r="A29" s="2"/>
      <c r="B29" s="2"/>
      <c r="C29" s="37"/>
      <c r="D29" s="37"/>
      <c r="E29" s="2"/>
      <c r="F29" s="2"/>
      <c r="G29" s="9"/>
      <c r="H29" s="27"/>
      <c r="I29" s="4"/>
      <c r="J29" s="4"/>
    </row>
    <row r="30" spans="1:10">
      <c r="A30" s="2"/>
      <c r="B30" s="2"/>
      <c r="C30" s="37"/>
      <c r="D30" s="37"/>
      <c r="E30" s="2"/>
      <c r="F30" s="2"/>
      <c r="G30" s="9"/>
      <c r="H30" s="26"/>
      <c r="I30" s="4"/>
      <c r="J30" s="4"/>
    </row>
    <row r="31" spans="1:10">
      <c r="A31" s="2"/>
      <c r="B31" s="2"/>
      <c r="C31" s="37"/>
      <c r="D31" s="37"/>
      <c r="E31" s="2"/>
      <c r="F31" s="2"/>
      <c r="G31" s="9"/>
      <c r="H31" s="26"/>
      <c r="I31" s="4"/>
      <c r="J31" s="4"/>
    </row>
    <row r="32" spans="1:10">
      <c r="A32" s="2"/>
      <c r="B32" s="2"/>
      <c r="C32" s="37"/>
      <c r="D32" s="37"/>
      <c r="E32" s="2"/>
      <c r="F32" s="2"/>
      <c r="G32" s="9"/>
      <c r="H32" s="26"/>
      <c r="I32" s="4"/>
      <c r="J32" s="4"/>
    </row>
    <row r="33" spans="1:10">
      <c r="A33" s="2"/>
      <c r="B33" s="2"/>
      <c r="C33" s="37"/>
      <c r="D33" s="37"/>
      <c r="E33" s="2"/>
      <c r="F33" s="2"/>
      <c r="G33" s="9"/>
      <c r="H33" s="27"/>
      <c r="I33" s="4"/>
      <c r="J33" s="4"/>
    </row>
    <row r="34" spans="1:10">
      <c r="A34" s="2"/>
      <c r="B34" s="2"/>
      <c r="C34" s="37"/>
      <c r="D34" s="37"/>
      <c r="E34" s="2"/>
      <c r="F34" s="2"/>
      <c r="G34" s="9"/>
      <c r="H34" s="27"/>
      <c r="I34" s="4"/>
      <c r="J34" s="4"/>
    </row>
    <row r="35" spans="1:10">
      <c r="A35" s="2"/>
      <c r="B35" s="2"/>
      <c r="C35" s="37"/>
      <c r="D35" s="37"/>
      <c r="E35" s="2"/>
      <c r="F35" s="2"/>
      <c r="G35" s="9"/>
      <c r="H35" s="27"/>
      <c r="I35" s="4"/>
      <c r="J35" s="4"/>
    </row>
  </sheetData>
  <mergeCells count="5">
    <mergeCell ref="A25:B25"/>
    <mergeCell ref="A26:B26"/>
    <mergeCell ref="A21:F21"/>
    <mergeCell ref="A23:B23"/>
    <mergeCell ref="A24:B24"/>
  </mergeCells>
  <pageMargins left="0.7" right="0.7" top="0.75" bottom="0.75" header="0.3" footer="0.3"/>
  <pageSetup orientation="portrait" r:id="rId1"/>
  <headerFooter>
    <oddHeader>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main</vt:lpstr>
      <vt:lpstr>mains</vt:lpstr>
      <vt:lpstr>Income</vt:lpstr>
      <vt:lpstr>OtherIncm</vt:lpstr>
      <vt:lpstr>OthExp</vt:lpstr>
      <vt:lpstr>TranMaint</vt:lpstr>
      <vt:lpstr>ISummary</vt:lpstr>
      <vt:lpstr>Diesel</vt:lpstr>
      <vt:lpstr>Fee 22-23</vt:lpstr>
      <vt:lpstr>Fee 22-23_K</vt:lpstr>
      <vt:lpstr>Fee 21-22</vt:lpstr>
      <vt:lpstr>FeeGross</vt:lpstr>
      <vt:lpstr>TmpFee</vt:lpstr>
      <vt:lpstr>AroraJi20-21</vt:lpstr>
      <vt:lpstr>AroraJi 19-20</vt:lpstr>
      <vt:lpstr>RSK</vt:lpstr>
      <vt:lpstr>SM</vt:lpstr>
      <vt:lpstr>SP</vt:lpstr>
      <vt:lpstr>PS</vt:lpstr>
      <vt:lpstr>AB</vt:lpstr>
      <vt:lpstr>CDV</vt:lpstr>
      <vt:lpstr>PG</vt:lpstr>
      <vt:lpstr>MKJ</vt:lpstr>
      <vt:lpstr>Oth</vt:lpstr>
      <vt:lpstr>RSF</vt:lpstr>
      <vt:lpstr>MKN</vt:lpstr>
      <vt:lpstr>SG</vt:lpstr>
      <vt:lpstr>RAS</vt:lpstr>
      <vt:lpstr>AK</vt:lpstr>
      <vt:lpstr>RME</vt:lpstr>
      <vt:lpstr>LK</vt:lpstr>
      <vt:lpstr>RMH</vt:lpstr>
      <vt:lpstr>SK</vt:lpstr>
      <vt:lpstr>AS</vt:lpstr>
      <vt:lpstr>DK</vt:lpstr>
      <vt:lpstr>JS</vt:lpstr>
      <vt:lpstr>GK</vt:lpstr>
      <vt:lpstr>MK</vt:lpstr>
      <vt:lpstr>PK</vt:lpstr>
      <vt:lpstr>SV</vt:lpstr>
      <vt:lpstr>HB</vt:lpstr>
      <vt:lpstr>RKS</vt:lpstr>
      <vt:lpstr>BD</vt:lpstr>
      <vt:lpstr>TK</vt:lpstr>
      <vt:lpstr>SJ</vt:lpstr>
      <vt:lpstr>MM</vt:lpstr>
      <vt:lpstr>RM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2023-03-07T14:23:31Z</dcterms:modified>
</cp:coreProperties>
</file>